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ul 3 S2\Pachete\Seminar 1\dataIN\"/>
    </mc:Choice>
  </mc:AlternateContent>
  <bookViews>
    <workbookView xWindow="-105" yWindow="-105" windowWidth="23250" windowHeight="12450"/>
  </bookViews>
  <sheets>
    <sheet name="VANZARI" sheetId="1" r:id="rId1"/>
    <sheet name="CATEGORII" sheetId="4" r:id="rId2"/>
    <sheet name="VANZARI CATEGORII" sheetId="9" r:id="rId3"/>
    <sheet name="Sheet3" sheetId="3" state="hidden" r:id="rId4"/>
    <sheet name="Sheet2" sheetId="2" state="hidden" r:id="rId5"/>
  </sheets>
  <definedNames>
    <definedName name="_xlnm._FilterDatabase" localSheetId="0" hidden="1">VANZARI!$A$1:$L$126</definedName>
    <definedName name="categorii">CATEGORII!$A$1:$B$4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2" i="4"/>
  <c r="L2" i="1"/>
  <c r="L108" i="1"/>
  <c r="L111" i="1"/>
  <c r="L114" i="1"/>
  <c r="K114" i="1" s="1"/>
  <c r="L120" i="1"/>
  <c r="L122" i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3" i="3"/>
  <c r="J108" i="1"/>
  <c r="J109" i="1"/>
  <c r="J110" i="1"/>
  <c r="J111" i="1"/>
  <c r="J112" i="1"/>
  <c r="J113" i="1"/>
  <c r="J114" i="1"/>
  <c r="J115" i="1"/>
  <c r="L116" i="1"/>
  <c r="J116" i="1"/>
  <c r="J117" i="1"/>
  <c r="L118" i="1"/>
  <c r="J118" i="1"/>
  <c r="J119" i="1"/>
  <c r="J120" i="1"/>
  <c r="J121" i="1"/>
  <c r="J122" i="1"/>
  <c r="J123" i="1"/>
  <c r="L124" i="1"/>
  <c r="K124" i="1" s="1"/>
  <c r="J124" i="1"/>
  <c r="J125" i="1"/>
  <c r="L126" i="1"/>
  <c r="K126" i="1" s="1"/>
  <c r="J126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L69" i="1"/>
  <c r="L70" i="1"/>
  <c r="L73" i="1"/>
  <c r="L74" i="1"/>
  <c r="L77" i="1"/>
  <c r="K77" i="1" s="1"/>
  <c r="L78" i="1"/>
  <c r="K78" i="1" s="1"/>
  <c r="L81" i="1"/>
  <c r="L82" i="1"/>
  <c r="L85" i="1"/>
  <c r="L86" i="1"/>
  <c r="L89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L61" i="1"/>
  <c r="K61" i="1" s="1"/>
  <c r="L64" i="1"/>
  <c r="L65" i="1"/>
  <c r="L54" i="1"/>
  <c r="L55" i="1"/>
  <c r="L56" i="1"/>
  <c r="K56" i="1" s="1"/>
  <c r="L57" i="1"/>
  <c r="L58" i="1"/>
  <c r="L59" i="1"/>
  <c r="K59" i="1" s="1"/>
  <c r="L60" i="1"/>
  <c r="K60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2" i="1"/>
  <c r="L5" i="1"/>
  <c r="L6" i="1"/>
  <c r="L7" i="1"/>
  <c r="K7" i="1" s="1"/>
  <c r="L8" i="1"/>
  <c r="K8" i="1" s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K21" i="1" s="1"/>
  <c r="L22" i="1"/>
  <c r="L23" i="1"/>
  <c r="L24" i="1"/>
  <c r="L25" i="1"/>
  <c r="K25" i="1" s="1"/>
  <c r="L26" i="1"/>
  <c r="K26" i="1" s="1"/>
  <c r="L27" i="1"/>
  <c r="K27" i="1" s="1"/>
  <c r="L28" i="1"/>
  <c r="K28" i="1" s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K46" i="1" s="1"/>
  <c r="L47" i="1"/>
  <c r="L48" i="1"/>
  <c r="L49" i="1"/>
  <c r="L50" i="1"/>
  <c r="L51" i="1"/>
  <c r="L52" i="1"/>
  <c r="L3" i="1"/>
  <c r="L4" i="1"/>
  <c r="K2" i="1" l="1"/>
  <c r="K41" i="1"/>
  <c r="K5" i="1"/>
  <c r="K36" i="1"/>
  <c r="K44" i="1"/>
  <c r="K52" i="1"/>
  <c r="K48" i="1"/>
  <c r="K17" i="1"/>
  <c r="K38" i="1"/>
  <c r="K22" i="1"/>
  <c r="K18" i="1"/>
  <c r="K12" i="1"/>
  <c r="K50" i="1"/>
  <c r="K42" i="1"/>
  <c r="K30" i="1"/>
  <c r="K14" i="1"/>
  <c r="K10" i="1"/>
  <c r="K6" i="1"/>
  <c r="K37" i="1"/>
  <c r="K34" i="1"/>
  <c r="K13" i="1"/>
  <c r="K33" i="1"/>
  <c r="K29" i="1"/>
  <c r="K9" i="1"/>
  <c r="K49" i="1"/>
  <c r="K45" i="1"/>
  <c r="K32" i="1"/>
  <c r="K24" i="1"/>
  <c r="K20" i="1"/>
  <c r="K16" i="1"/>
  <c r="K4" i="1"/>
  <c r="K57" i="1"/>
  <c r="K51" i="1"/>
  <c r="K47" i="1"/>
  <c r="K43" i="1"/>
  <c r="K39" i="1"/>
  <c r="K35" i="1"/>
  <c r="K31" i="1"/>
  <c r="K23" i="1"/>
  <c r="K19" i="1"/>
  <c r="K15" i="1"/>
  <c r="K11" i="1"/>
  <c r="K3" i="1"/>
  <c r="K85" i="1"/>
  <c r="K40" i="1"/>
  <c r="K58" i="1"/>
  <c r="K86" i="1"/>
  <c r="L107" i="1"/>
  <c r="K107" i="1" s="1"/>
  <c r="L106" i="1"/>
  <c r="L105" i="1"/>
  <c r="L104" i="1"/>
  <c r="L103" i="1"/>
  <c r="L102" i="1"/>
  <c r="K102" i="1" s="1"/>
  <c r="L101" i="1"/>
  <c r="L100" i="1"/>
  <c r="L99" i="1"/>
  <c r="L98" i="1"/>
  <c r="L97" i="1"/>
  <c r="L96" i="1"/>
  <c r="L95" i="1"/>
  <c r="L94" i="1"/>
  <c r="L93" i="1"/>
  <c r="L92" i="1"/>
  <c r="L91" i="1"/>
  <c r="L90" i="1"/>
  <c r="K90" i="1" s="1"/>
  <c r="L125" i="1"/>
  <c r="K125" i="1" s="1"/>
  <c r="L121" i="1"/>
  <c r="L117" i="1"/>
  <c r="L113" i="1"/>
  <c r="L109" i="1"/>
  <c r="K108" i="1" s="1"/>
  <c r="L112" i="1"/>
  <c r="L53" i="1"/>
  <c r="L67" i="1"/>
  <c r="L63" i="1"/>
  <c r="L66" i="1"/>
  <c r="L62" i="1"/>
  <c r="K62" i="1" s="1"/>
  <c r="L88" i="1"/>
  <c r="L84" i="1"/>
  <c r="K84" i="1" s="1"/>
  <c r="L80" i="1"/>
  <c r="L76" i="1"/>
  <c r="K76" i="1" s="1"/>
  <c r="L72" i="1"/>
  <c r="L68" i="1"/>
  <c r="L123" i="1"/>
  <c r="L119" i="1"/>
  <c r="K119" i="1" s="1"/>
  <c r="L115" i="1"/>
  <c r="L87" i="1"/>
  <c r="L83" i="1"/>
  <c r="K82" i="1" s="1"/>
  <c r="L79" i="1"/>
  <c r="L75" i="1"/>
  <c r="K75" i="1" s="1"/>
  <c r="L71" i="1"/>
  <c r="L110" i="1"/>
  <c r="K110" i="1" s="1"/>
  <c r="K112" i="1" l="1"/>
  <c r="K121" i="1"/>
  <c r="K122" i="1"/>
  <c r="K71" i="1"/>
  <c r="K111" i="1"/>
  <c r="K123" i="1"/>
  <c r="K120" i="1"/>
  <c r="K115" i="1"/>
  <c r="K116" i="1"/>
  <c r="K73" i="1"/>
  <c r="K55" i="1"/>
  <c r="K54" i="1"/>
  <c r="K53" i="1"/>
  <c r="K91" i="1"/>
  <c r="K92" i="1"/>
  <c r="K93" i="1"/>
  <c r="K74" i="1"/>
  <c r="K81" i="1"/>
  <c r="K83" i="1"/>
  <c r="K79" i="1"/>
  <c r="K80" i="1"/>
  <c r="K118" i="1"/>
  <c r="K117" i="1"/>
  <c r="K103" i="1"/>
  <c r="K104" i="1"/>
  <c r="K67" i="1"/>
  <c r="K66" i="1"/>
  <c r="K99" i="1"/>
  <c r="K96" i="1"/>
  <c r="K98" i="1"/>
  <c r="K97" i="1"/>
  <c r="K100" i="1"/>
  <c r="K101" i="1"/>
  <c r="K72" i="1"/>
  <c r="K109" i="1"/>
  <c r="K95" i="1"/>
  <c r="K94" i="1"/>
  <c r="K70" i="1"/>
  <c r="K87" i="1"/>
  <c r="K88" i="1"/>
  <c r="K89" i="1"/>
  <c r="K68" i="1"/>
  <c r="K69" i="1"/>
  <c r="K63" i="1"/>
  <c r="K64" i="1"/>
  <c r="K65" i="1"/>
  <c r="K106" i="1"/>
  <c r="K105" i="1"/>
  <c r="K113" i="1"/>
</calcChain>
</file>

<file path=xl/sharedStrings.xml><?xml version="1.0" encoding="utf-8"?>
<sst xmlns="http://schemas.openxmlformats.org/spreadsheetml/2006/main" count="549" uniqueCount="58">
  <si>
    <t>nr_comanda</t>
  </si>
  <si>
    <t>cod_produs</t>
  </si>
  <si>
    <t>cod_client</t>
  </si>
  <si>
    <t>denumire_produs</t>
  </si>
  <si>
    <t>pret</t>
  </si>
  <si>
    <t>data_livrare</t>
  </si>
  <si>
    <t>cod_categorie</t>
  </si>
  <si>
    <t>greutate_um</t>
  </si>
  <si>
    <t>cantitate_um</t>
  </si>
  <si>
    <t>CO001</t>
  </si>
  <si>
    <t>CO002</t>
  </si>
  <si>
    <t>CO004</t>
  </si>
  <si>
    <t>CO006</t>
  </si>
  <si>
    <t>CO007</t>
  </si>
  <si>
    <t>CO008</t>
  </si>
  <si>
    <t>CO009</t>
  </si>
  <si>
    <t>CO021</t>
  </si>
  <si>
    <t>CO010</t>
  </si>
  <si>
    <t>CO011</t>
  </si>
  <si>
    <t>CO012</t>
  </si>
  <si>
    <t>CO013</t>
  </si>
  <si>
    <t>CO014</t>
  </si>
  <si>
    <t>CO015</t>
  </si>
  <si>
    <t>Row Labels</t>
  </si>
  <si>
    <t>Grand Total</t>
  </si>
  <si>
    <t>CATEG</t>
  </si>
  <si>
    <t>GREUTATE</t>
  </si>
  <si>
    <t>BROCCOLI 1KG</t>
  </si>
  <si>
    <t>FASOLE 450G</t>
  </si>
  <si>
    <t>MAZARE 450G</t>
  </si>
  <si>
    <t>BROCCOLI 450G</t>
  </si>
  <si>
    <t>CONOPIDA 450G</t>
  </si>
  <si>
    <t>FASOLE 1KG</t>
  </si>
  <si>
    <t>MAZARE 1KG</t>
  </si>
  <si>
    <t>CAPSUNI 450G</t>
  </si>
  <si>
    <t>ZMEURA 450G</t>
  </si>
  <si>
    <t>VISINE 450G</t>
  </si>
  <si>
    <t>CAPSUNI 1KG</t>
  </si>
  <si>
    <t>AMESTEC HAWAIAN 1 KG</t>
  </si>
  <si>
    <t>AMESTEC MEXICAN 450G</t>
  </si>
  <si>
    <t>AMESTEC MEXICAN 1KG</t>
  </si>
  <si>
    <t>LOL1</t>
  </si>
  <si>
    <t>LOL2</t>
  </si>
  <si>
    <t>LOL3</t>
  </si>
  <si>
    <t>LOL4</t>
  </si>
  <si>
    <t>LOL5</t>
  </si>
  <si>
    <t>LOL7</t>
  </si>
  <si>
    <t>denumire_categorie</t>
  </si>
  <si>
    <t>LEGUME</t>
  </si>
  <si>
    <t>FRUCTE</t>
  </si>
  <si>
    <t>MIXURI LEGUME</t>
  </si>
  <si>
    <t>Column Labels</t>
  </si>
  <si>
    <t>ian</t>
  </si>
  <si>
    <t>feb</t>
  </si>
  <si>
    <t>greutate_kg</t>
  </si>
  <si>
    <t>Sum of greutate_kg</t>
  </si>
  <si>
    <t>valoare_discount</t>
  </si>
  <si>
    <t>numar_linii_comanda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</si>
</sst>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2" borderId="4" xfId="0" applyFill="1" applyBorder="1"/>
    <xf numFmtId="0" fontId="2" fillId="3" borderId="4" xfId="1" applyBorder="1"/>
    <xf numFmtId="14" fontId="2" fillId="3" borderId="4" xfId="1" applyNumberFormat="1" applyBorder="1"/>
    <xf numFmtId="0" fontId="3" fillId="4" borderId="4" xfId="2" applyBorder="1"/>
    <xf numFmtId="0" fontId="3" fillId="4" borderId="0" xfId="2"/>
    <xf numFmtId="0" fontId="2" fillId="3" borderId="0" xfId="1"/>
    <xf numFmtId="0" fontId="2" fillId="3" borderId="0" xfId="0" applyFont="1" applyFill="1" applyAlignment="1">
      <alignment horizontal="left"/>
    </xf>
    <xf numFmtId="10" fontId="2" fillId="3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left"/>
    </xf>
    <xf numFmtId="10" fontId="3" fillId="4" borderId="0" xfId="0" applyNumberFormat="1" applyFont="1" applyFill="1"/>
    <xf numFmtId="0" fontId="2" fillId="3" borderId="0" xfId="0" applyFont="1" applyFill="1"/>
  </cellXfs>
  <cellStyles count="3">
    <cellStyle name="Accent3" xfId="2" builtinId="37"/>
    <cellStyle name="Good" xfId="1" builtinId="26"/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5"/>
          <bgColor theme="6" tint="0.79998168889431442"/>
        </patternFill>
      </fill>
    </dxf>
    <dxf>
      <fill>
        <patternFill patternType="solid"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scheme val="minor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6"/>
        </patternFill>
      </fill>
    </dxf>
    <dxf>
      <fill>
        <patternFill patternType="solid"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5"/>
          <bgColor theme="7" tint="0.59999389629810485"/>
        </patternFill>
      </fill>
    </dxf>
    <dxf>
      <fill>
        <patternFill patternType="solid">
          <bgColor theme="8" tint="-0.249977111117893"/>
        </patternFill>
      </fill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5"/>
          <bgColor theme="7" tint="0.59999389629810485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ill>
        <patternFill>
          <bgColor theme="8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5"/>
          <bgColor theme="6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scheme val="minor"/>
      </font>
      <fill>
        <patternFill patternType="solid">
          <fgColor indexed="65"/>
          <bgColor rgb="FFC6EFCE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ill>
        <patternFill patternType="solid">
          <bgColor theme="8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[AGRIECO.xlsx]VANZARI CATEGORII!PivotTable3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o-RO"/>
              <a:t>Pondere categorii in total vanzare - greutate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shade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3">
              <a:tint val="6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8262236597782114E-2"/>
          <c:y val="0.55345081709816257"/>
          <c:w val="0.8364700844859102"/>
          <c:h val="0.33840052785104002"/>
        </c:manualLayout>
      </c:layout>
      <c:pie3DChart>
        <c:varyColors val="1"/>
        <c:ser>
          <c:idx val="0"/>
          <c:order val="0"/>
          <c:tx>
            <c:strRef>
              <c:f>'VANZARI CATEGORII'!$B$3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44A-47C2-A4AC-14610070A72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44A-47C2-A4AC-14610070A727}"/>
              </c:ext>
            </c:extLst>
          </c:dPt>
          <c:dPt>
            <c:idx val="2"/>
            <c:bubble3D val="0"/>
            <c:spPr>
              <a:solidFill>
                <a:schemeClr val="accent3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44A-47C2-A4AC-14610070A7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'VANZARI CATEGORII'!$A$4:$A$7</c:f>
              <c:strCache>
                <c:ptCount val="3"/>
                <c:pt idx="0">
                  <c:v>FRUCTE</c:v>
                </c:pt>
                <c:pt idx="1">
                  <c:v>LEGUME</c:v>
                </c:pt>
                <c:pt idx="2">
                  <c:v>MIXURI LEGUME</c:v>
                </c:pt>
              </c:strCache>
            </c:strRef>
          </c:cat>
          <c:val>
            <c:numRef>
              <c:f>'VANZARI CATEGORII'!$B$4:$B$7</c:f>
              <c:numCache>
                <c:formatCode>0.00%</c:formatCode>
                <c:ptCount val="3"/>
                <c:pt idx="0">
                  <c:v>0.26741105522986358</c:v>
                </c:pt>
                <c:pt idx="1">
                  <c:v>0.4661182211167777</c:v>
                </c:pt>
                <c:pt idx="2">
                  <c:v>0.26647072365335867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1DC-41A9-9818-6F806059D7C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607695</xdr:colOff>
      <xdr:row>2</xdr:row>
      <xdr:rowOff>140970</xdr:rowOff>
    </xdr:from>
    <xdr:to>
      <xdr:col>8</xdr:col>
      <xdr:colOff>918210</xdr:colOff>
      <xdr:row>15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72428A01-A048-0A02-E0D5-B04CF9F62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iel" refreshedDate="45403.518502430554" createdVersion="8" refreshedVersion="8" minRefreshableVersion="3" recordCount="29">
  <cacheSource type="worksheet">
    <worksheetSource ref="A1:A30" sheet="Sheet2"/>
  </cacheSource>
  <cacheFields count="1">
    <cacheField name="CO001" numFmtId="0">
      <sharedItems count="13">
        <s v="CO002"/>
        <s v="CO006"/>
        <s v="CO004"/>
        <s v="CO021"/>
        <s v="CO007"/>
        <s v="CO008"/>
        <s v="CO009"/>
        <s v="CO010"/>
        <s v="CO011"/>
        <s v="CO012"/>
        <s v="CO013"/>
        <s v="CO014"/>
        <s v="CO0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aniel" refreshedDate="45403.931338310183" createdVersion="8" refreshedVersion="8" minRefreshableVersion="3" recordCount="125">
  <cacheSource type="worksheet">
    <worksheetSource ref="A1:L126" sheet="VANZARI"/>
  </cacheSource>
  <cacheFields count="14">
    <cacheField name="nr_comanda" numFmtId="0">
      <sharedItems containsSemiMixedTypes="0" containsString="0" containsNumber="1" containsInteger="1" minValue="1" maxValue="65"/>
    </cacheField>
    <cacheField name="cod_client" numFmtId="0">
      <sharedItems/>
    </cacheField>
    <cacheField name="cod_produs" numFmtId="0">
      <sharedItems/>
    </cacheField>
    <cacheField name="denumire_produs" numFmtId="0">
      <sharedItems/>
    </cacheField>
    <cacheField name="cantitate_um" numFmtId="0">
      <sharedItems containsSemiMixedTypes="0" containsString="0" containsNumber="1" containsInteger="1" minValue="5" maxValue="2456"/>
    </cacheField>
    <cacheField name="pret" numFmtId="0">
      <sharedItems containsSemiMixedTypes="0" containsString="0" containsNumber="1" minValue="6.12" maxValue="22.7836"/>
    </cacheField>
    <cacheField name="greutate_um" numFmtId="0">
      <sharedItems containsSemiMixedTypes="0" containsString="0" containsNumber="1" minValue="0.45" maxValue="1"/>
    </cacheField>
    <cacheField name="data_livrare" numFmtId="14">
      <sharedItems containsSemiMixedTypes="0" containsNonDate="0" containsDate="1" containsString="0" minDate="2024-01-04T00:00:00" maxDate="2024-03-01T00:00:00" count="39">
        <d v="2024-01-04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</sharedItems>
      <fieldGroup par="13"/>
    </cacheField>
    <cacheField name="cod_categorie" numFmtId="0">
      <sharedItems containsSemiMixedTypes="0" containsString="0" containsNumber="1" containsInteger="1" minValue="1" maxValue="3"/>
    </cacheField>
    <cacheField name="denumire_categorie" numFmtId="0">
      <sharedItems count="3">
        <s v="LEGUME"/>
        <s v="MIXURI LEGUME"/>
        <s v="FRUCTE"/>
      </sharedItems>
    </cacheField>
    <cacheField name="valoare_discount" numFmtId="0">
      <sharedItems containsSemiMixedTypes="0" containsString="0" containsNumber="1" minValue="0" maxValue="1989.36"/>
    </cacheField>
    <cacheField name="greutate_kg" numFmtId="0">
      <sharedItems containsSemiMixedTypes="0" containsString="0" containsNumber="1" minValue="3.15" maxValue="2456"/>
    </cacheField>
    <cacheField name="Days (data_livrare)" numFmtId="0" databaseField="0">
      <fieldGroup base="7">
        <rangePr groupBy="days" startDate="2024-01-04T00:00:00" endDate="2024-03-01T00:00:00"/>
        <groupItems count="368">
          <s v="&lt;04.01.2024"/>
          <s v="01.ian"/>
          <s v="02.ian"/>
          <s v="03.ian"/>
          <s v="04.ian"/>
          <s v="05.ian"/>
          <s v="06.ian"/>
          <s v="07.ian"/>
          <s v="08.ian"/>
          <s v="09.ian"/>
          <s v="10.ian"/>
          <s v="11.ian"/>
          <s v="12.ian"/>
          <s v="13.ian"/>
          <s v="14.ian"/>
          <s v="15.ian"/>
          <s v="16.ian"/>
          <s v="17.ian"/>
          <s v="18.ian"/>
          <s v="19.ian"/>
          <s v="20.ian"/>
          <s v="21.ian"/>
          <s v="22.ian"/>
          <s v="23.ian"/>
          <s v="24.ian"/>
          <s v="25.ian"/>
          <s v="26.ian"/>
          <s v="27.ian"/>
          <s v="28.ian"/>
          <s v="29.ian"/>
          <s v="30.ian"/>
          <s v="31.ian"/>
          <s v="01.feb"/>
          <s v="02.feb"/>
          <s v="03.feb"/>
          <s v="04.feb"/>
          <s v="05.feb"/>
          <s v="06.feb"/>
          <s v="07.feb"/>
          <s v="08.feb"/>
          <s v="0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apr"/>
          <s v="02.apr"/>
          <s v="03.apr"/>
          <s v="04.apr"/>
          <s v="05.apr"/>
          <s v="06.apr"/>
          <s v="07.apr"/>
          <s v="08.apr"/>
          <s v="0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01.mai"/>
          <s v="02.mai"/>
          <s v="03.mai"/>
          <s v="04.mai"/>
          <s v="05.mai"/>
          <s v="06.mai"/>
          <s v="07.mai"/>
          <s v="08.mai"/>
          <s v="09.mai"/>
          <s v="10.mai"/>
          <s v="11.mai"/>
          <s v="12.mai"/>
          <s v="13.mai"/>
          <s v="14.mai"/>
          <s v="15.mai"/>
          <s v="16.mai"/>
          <s v="17.mai"/>
          <s v="18.mai"/>
          <s v="19.mai"/>
          <s v="20.mai"/>
          <s v="21.mai"/>
          <s v="22.mai"/>
          <s v="23.mai"/>
          <s v="24.mai"/>
          <s v="25.mai"/>
          <s v="26.mai"/>
          <s v="27.mai"/>
          <s v="28.mai"/>
          <s v="29.mai"/>
          <s v="30.mai"/>
          <s v="31.mai"/>
          <s v="01.iun"/>
          <s v="02.iun"/>
          <s v="03.iun"/>
          <s v="04.iun"/>
          <s v="05.iun"/>
          <s v="06.iun"/>
          <s v="07.iun"/>
          <s v="08.iun"/>
          <s v="09.iun"/>
          <s v="10.iun"/>
          <s v="11.iun"/>
          <s v="12.iun"/>
          <s v="13.iun"/>
          <s v="14.iun"/>
          <s v="15.iun"/>
          <s v="16.iun"/>
          <s v="17.iun"/>
          <s v="18.iun"/>
          <s v="19.iun"/>
          <s v="20.iun"/>
          <s v="21.iun"/>
          <s v="22.iun"/>
          <s v="23.iun"/>
          <s v="24.iun"/>
          <s v="25.iun"/>
          <s v="26.iun"/>
          <s v="27.iun"/>
          <s v="28.iun"/>
          <s v="29.iun"/>
          <s v="30.iun"/>
          <s v="01.iul"/>
          <s v="02.iul"/>
          <s v="03.iul"/>
          <s v="04.iul"/>
          <s v="05.iul"/>
          <s v="06.iul"/>
          <s v="07.iul"/>
          <s v="08.iul"/>
          <s v="09.iul"/>
          <s v="10.iul"/>
          <s v="11.iul"/>
          <s v="12.iul"/>
          <s v="13.iul"/>
          <s v="14.iul"/>
          <s v="15.iul"/>
          <s v="16.iul"/>
          <s v="17.iul"/>
          <s v="18.iul"/>
          <s v="19.iul"/>
          <s v="20.iul"/>
          <s v="21.iul"/>
          <s v="22.iul"/>
          <s v="23.iul"/>
          <s v="24.iul"/>
          <s v="25.iul"/>
          <s v="26.iul"/>
          <s v="27.iul"/>
          <s v="28.iul"/>
          <s v="29.iul"/>
          <s v="30.iul"/>
          <s v="31.iul"/>
          <s v="01.aug"/>
          <s v="02.aug"/>
          <s v="03.aug"/>
          <s v="04.aug"/>
          <s v="05.aug"/>
          <s v="06.aug"/>
          <s v="07.aug"/>
          <s v="08.aug"/>
          <s v="09.aug"/>
          <s v="10.aug"/>
          <s v="11.aug"/>
          <s v="12.aug"/>
          <s v="13.aug"/>
          <s v="14.aug"/>
          <s v="15.aug"/>
          <s v="16.aug"/>
          <s v="17.aug"/>
          <s v="18.aug"/>
          <s v="19.aug"/>
          <s v="20.aug"/>
          <s v="21.aug"/>
          <s v="22.aug"/>
          <s v="23.aug"/>
          <s v="24.aug"/>
          <s v="25.aug"/>
          <s v="26.aug"/>
          <s v="27.aug"/>
          <s v="28.aug"/>
          <s v="29.aug"/>
          <s v="30.aug"/>
          <s v="31.aug"/>
          <s v="01.sept"/>
          <s v="02.sept"/>
          <s v="03.sept"/>
          <s v="04.sept"/>
          <s v="05.sept"/>
          <s v="06.sept"/>
          <s v="07.sept"/>
          <s v="08.sept"/>
          <s v="09.sept"/>
          <s v="10.sept"/>
          <s v="11.sept"/>
          <s v="12.sept"/>
          <s v="13.sept"/>
          <s v="14.sept"/>
          <s v="15.sept"/>
          <s v="16.sept"/>
          <s v="17.sept"/>
          <s v="18.sept"/>
          <s v="19.sept"/>
          <s v="20.sept"/>
          <s v="21.sept"/>
          <s v="22.sept"/>
          <s v="23.sept"/>
          <s v="24.sept"/>
          <s v="25.sept"/>
          <s v="26.sept"/>
          <s v="27.sept"/>
          <s v="28.sept"/>
          <s v="29.sept"/>
          <s v="30.sept"/>
          <s v="01.oct"/>
          <s v="02.oct"/>
          <s v="03.oct"/>
          <s v="04.oct"/>
          <s v="05.oct"/>
          <s v="06.oct"/>
          <s v="07.oct"/>
          <s v="08.oct"/>
          <s v="09.oct"/>
          <s v="10.oct"/>
          <s v="11.oct"/>
          <s v="12.oct"/>
          <s v="13.oct"/>
          <s v="14.oct"/>
          <s v="15.oct"/>
          <s v="16.oct"/>
          <s v="17.oct"/>
          <s v="18.oct"/>
          <s v="19.oct"/>
          <s v="20.oct"/>
          <s v="21.oct"/>
          <s v="22.oct"/>
          <s v="23.oct"/>
          <s v="24.oct"/>
          <s v="25.oct"/>
          <s v="26.oct"/>
          <s v="27.oct"/>
          <s v="28.oct"/>
          <s v="29.oct"/>
          <s v="30.oct"/>
          <s v="31.oct"/>
          <s v="01.nov"/>
          <s v="02.nov"/>
          <s v="03.nov"/>
          <s v="04.nov"/>
          <s v="05.nov"/>
          <s v="06.nov"/>
          <s v="07.nov"/>
          <s v="08.nov"/>
          <s v="0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01.dec"/>
          <s v="02.dec"/>
          <s v="03.dec"/>
          <s v="04.dec"/>
          <s v="05.dec"/>
          <s v="06.dec"/>
          <s v="07.dec"/>
          <s v="08.dec"/>
          <s v="0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01.03.2024"/>
        </groupItems>
      </fieldGroup>
    </cacheField>
    <cacheField name="Months (data_livrare)" numFmtId="0" databaseField="0">
      <fieldGroup base="7">
        <rangePr groupBy="months" startDate="2024-01-04T00:00:00" endDate="2024-03-01T00:00:00"/>
        <groupItems count="14">
          <s v="&lt;04.01.2024"/>
          <s v="ian"/>
          <s v="feb"/>
          <s v="mar"/>
          <s v="apr"/>
          <s v="mai"/>
          <s v="iun"/>
          <s v="iul"/>
          <s v="aug"/>
          <s v="sept"/>
          <s v="oct"/>
          <s v="nov"/>
          <s v="dec"/>
          <s v="&gt;01.03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</r>
  <r>
    <x v="1"/>
  </r>
  <r>
    <x v="1"/>
  </r>
  <r>
    <x v="2"/>
  </r>
  <r>
    <x v="3"/>
  </r>
  <r>
    <x v="1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0"/>
  </r>
  <r>
    <x v="1"/>
  </r>
  <r>
    <x v="2"/>
  </r>
  <r>
    <x v="3"/>
  </r>
  <r>
    <x v="1"/>
  </r>
  <r>
    <x v="7"/>
  </r>
  <r>
    <x v="9"/>
  </r>
  <r>
    <x v="0"/>
  </r>
  <r>
    <x v="0"/>
  </r>
  <r>
    <x v="11"/>
  </r>
  <r>
    <x v="11"/>
  </r>
  <r>
    <x v="7"/>
  </r>
  <r>
    <x v="11"/>
  </r>
  <r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"/>
    <s v="LOL1"/>
    <s v="CO001"/>
    <s v="BROCCOLI 1KG"/>
    <n v="200"/>
    <n v="19.649999999999999"/>
    <n v="1"/>
    <x v="0"/>
    <n v="1"/>
    <x v="0"/>
    <n v="0"/>
    <n v="200"/>
  </r>
  <r>
    <n v="1"/>
    <s v="LOL1"/>
    <s v="CO002"/>
    <s v="FASOLE 450G"/>
    <n v="44"/>
    <n v="7.16"/>
    <n v="0.45"/>
    <x v="0"/>
    <n v="1"/>
    <x v="0"/>
    <n v="0"/>
    <n v="19.8"/>
  </r>
  <r>
    <n v="1"/>
    <s v="LOL1"/>
    <s v="CO006"/>
    <s v="BROCCOLI 450G"/>
    <n v="24"/>
    <n v="10.56"/>
    <n v="0.45"/>
    <x v="0"/>
    <n v="1"/>
    <x v="0"/>
    <n v="0"/>
    <n v="10.8"/>
  </r>
  <r>
    <n v="2"/>
    <s v="LOL2"/>
    <s v="CO006"/>
    <s v="BROCCOLI 450G"/>
    <n v="495"/>
    <n v="10.56"/>
    <n v="0.45"/>
    <x v="0"/>
    <n v="1"/>
    <x v="0"/>
    <n v="0"/>
    <n v="222.75"/>
  </r>
  <r>
    <n v="2"/>
    <s v="LOL2"/>
    <s v="CO004"/>
    <s v="MAZARE 450G"/>
    <n v="210"/>
    <n v="6.12"/>
    <n v="0.45"/>
    <x v="0"/>
    <n v="1"/>
    <x v="0"/>
    <n v="0"/>
    <n v="94.5"/>
  </r>
  <r>
    <n v="3"/>
    <s v="LOL7"/>
    <s v="CO021"/>
    <s v="AMESTEC MEXICAN 1KG"/>
    <n v="1200"/>
    <n v="14.1"/>
    <n v="1"/>
    <x v="0"/>
    <n v="3"/>
    <x v="1"/>
    <n v="846"/>
    <n v="1200"/>
  </r>
  <r>
    <n v="4"/>
    <s v="LOL2"/>
    <s v="CO006"/>
    <s v="BROCCOLI 450G"/>
    <n v="400"/>
    <n v="10.56"/>
    <n v="0.45"/>
    <x v="1"/>
    <n v="1"/>
    <x v="0"/>
    <n v="0"/>
    <n v="180"/>
  </r>
  <r>
    <n v="5"/>
    <s v="LOL3"/>
    <s v="CO007"/>
    <s v="CONOPIDA 450G"/>
    <n v="120"/>
    <n v="8.4499999999999993"/>
    <n v="0.45"/>
    <x v="1"/>
    <n v="1"/>
    <x v="0"/>
    <n v="50.699999999999996"/>
    <n v="54"/>
  </r>
  <r>
    <n v="5"/>
    <s v="LOL3"/>
    <s v="CO008"/>
    <s v="FASOLE 1KG"/>
    <n v="434"/>
    <n v="16.3"/>
    <n v="1"/>
    <x v="1"/>
    <n v="1"/>
    <x v="0"/>
    <n v="353.71000000000004"/>
    <n v="434"/>
  </r>
  <r>
    <n v="5"/>
    <s v="LOL3"/>
    <s v="CO009"/>
    <s v="MAZARE 1KG"/>
    <n v="2211"/>
    <n v="14.34"/>
    <n v="1"/>
    <x v="1"/>
    <n v="1"/>
    <x v="0"/>
    <n v="1585.287"/>
    <n v="2211"/>
  </r>
  <r>
    <n v="5"/>
    <s v="LOL3"/>
    <s v="CO010"/>
    <s v="CAPSUNI 450G"/>
    <n v="111"/>
    <n v="12.6"/>
    <n v="0.45"/>
    <x v="1"/>
    <n v="2"/>
    <x v="2"/>
    <n v="69.929999999999993"/>
    <n v="49.95"/>
  </r>
  <r>
    <n v="6"/>
    <s v="LOL4"/>
    <s v="CO011"/>
    <s v="ZMEURA 450G"/>
    <n v="12"/>
    <n v="14.7"/>
    <n v="0.45"/>
    <x v="2"/>
    <n v="2"/>
    <x v="2"/>
    <n v="0"/>
    <n v="5.4"/>
  </r>
  <r>
    <n v="6"/>
    <s v="LOL4"/>
    <s v="CO012"/>
    <s v="VISINE 450G"/>
    <n v="405"/>
    <n v="12.5"/>
    <n v="0.45"/>
    <x v="2"/>
    <n v="2"/>
    <x v="2"/>
    <n v="0"/>
    <n v="182.25"/>
  </r>
  <r>
    <n v="7"/>
    <s v="LOL1"/>
    <s v="CO013"/>
    <s v="CAPSUNI 1KG"/>
    <n v="34"/>
    <n v="22.12"/>
    <n v="1"/>
    <x v="3"/>
    <n v="2"/>
    <x v="2"/>
    <n v="37.604000000000006"/>
    <n v="34"/>
  </r>
  <r>
    <n v="7"/>
    <s v="LOL1"/>
    <s v="CO014"/>
    <s v="AMESTEC HAWAIAN 1 KG"/>
    <n v="1211"/>
    <n v="16.2"/>
    <n v="1"/>
    <x v="3"/>
    <n v="3"/>
    <x v="1"/>
    <n v="980.91000000000008"/>
    <n v="1211"/>
  </r>
  <r>
    <n v="7"/>
    <s v="LOL1"/>
    <s v="CO015"/>
    <s v="AMESTEC MEXICAN 450G"/>
    <n v="2294"/>
    <n v="8.1999999999999993"/>
    <n v="0.45"/>
    <x v="3"/>
    <n v="3"/>
    <x v="1"/>
    <n v="940.54"/>
    <n v="1032.3"/>
  </r>
  <r>
    <n v="8"/>
    <s v="LOL7"/>
    <s v="CO002"/>
    <s v="FASOLE 450G"/>
    <n v="444"/>
    <n v="7.16"/>
    <n v="0.45"/>
    <x v="4"/>
    <n v="1"/>
    <x v="0"/>
    <n v="0"/>
    <n v="199.8"/>
  </r>
  <r>
    <n v="8"/>
    <s v="LOL7"/>
    <s v="CO006"/>
    <s v="BROCCOLI 450G"/>
    <n v="123"/>
    <n v="10.56"/>
    <n v="0.45"/>
    <x v="4"/>
    <n v="1"/>
    <x v="0"/>
    <n v="0"/>
    <n v="55.35"/>
  </r>
  <r>
    <n v="8"/>
    <s v="LOL7"/>
    <s v="CO004"/>
    <s v="MAZARE 450G"/>
    <n v="200"/>
    <n v="6.12"/>
    <n v="0.45"/>
    <x v="4"/>
    <n v="1"/>
    <x v="0"/>
    <n v="0"/>
    <n v="90"/>
  </r>
  <r>
    <n v="9"/>
    <s v="LOL2"/>
    <s v="CO021"/>
    <s v="AMESTEC MEXICAN 1KG"/>
    <n v="129"/>
    <n v="14.1"/>
    <n v="1"/>
    <x v="4"/>
    <n v="3"/>
    <x v="1"/>
    <n v="0"/>
    <n v="129"/>
  </r>
  <r>
    <n v="10"/>
    <s v="LOL5"/>
    <s v="CO012"/>
    <s v="VISINE 450G"/>
    <n v="333"/>
    <n v="10.56"/>
    <n v="0.45"/>
    <x v="5"/>
    <n v="1"/>
    <x v="0"/>
    <n v="105.4944"/>
    <n v="149.85"/>
  </r>
  <r>
    <n v="10"/>
    <s v="LOL5"/>
    <s v="CO002"/>
    <s v="FASOLE 450G"/>
    <n v="1212"/>
    <n v="12.6"/>
    <n v="0.45"/>
    <x v="5"/>
    <n v="2"/>
    <x v="2"/>
    <n v="458.13599999999997"/>
    <n v="545.4"/>
  </r>
  <r>
    <n v="10"/>
    <s v="LOL5"/>
    <s v="CO011"/>
    <s v="ZMEURA 450G"/>
    <n v="345"/>
    <n v="12.5"/>
    <n v="0.45"/>
    <x v="5"/>
    <n v="2"/>
    <x v="2"/>
    <n v="129.375"/>
    <n v="155.25"/>
  </r>
  <r>
    <n v="11"/>
    <s v="LOL3"/>
    <s v="CO002"/>
    <s v="FASOLE 450G"/>
    <n v="420"/>
    <n v="7.16"/>
    <n v="0.45"/>
    <x v="6"/>
    <n v="1"/>
    <x v="0"/>
    <n v="0"/>
    <n v="189"/>
  </r>
  <r>
    <n v="12"/>
    <s v="LOL2"/>
    <s v="CO002"/>
    <s v="FASOLE 450G"/>
    <n v="121"/>
    <n v="7.16"/>
    <n v="0.45"/>
    <x v="7"/>
    <n v="1"/>
    <x v="0"/>
    <n v="0"/>
    <n v="54.45"/>
  </r>
  <r>
    <n v="13"/>
    <s v="LOL7"/>
    <s v="CO014"/>
    <s v="AMESTEC HAWAIAN 1 KG"/>
    <n v="212"/>
    <n v="16.2"/>
    <n v="1"/>
    <x v="7"/>
    <n v="3"/>
    <x v="1"/>
    <n v="0"/>
    <n v="212"/>
  </r>
  <r>
    <n v="14"/>
    <s v="LOL3"/>
    <s v="CO014"/>
    <s v="AMESTEC HAWAIAN 1 KG"/>
    <n v="111"/>
    <n v="16.2"/>
    <n v="1"/>
    <x v="8"/>
    <n v="3"/>
    <x v="1"/>
    <n v="0"/>
    <n v="111"/>
  </r>
  <r>
    <n v="15"/>
    <s v="LOL1"/>
    <s v="CO010"/>
    <s v="CAPSUNI 450G"/>
    <n v="495"/>
    <n v="12.6"/>
    <n v="0.45"/>
    <x v="9"/>
    <n v="2"/>
    <x v="2"/>
    <n v="311.85000000000002"/>
    <n v="222.75"/>
  </r>
  <r>
    <n v="15"/>
    <s v="LOL1"/>
    <s v="CO014"/>
    <s v="AMESTEC HAWAIAN 1 KG"/>
    <n v="2456"/>
    <n v="16.2"/>
    <n v="1"/>
    <x v="9"/>
    <n v="3"/>
    <x v="1"/>
    <n v="1989.36"/>
    <n v="2456"/>
  </r>
  <r>
    <n v="15"/>
    <s v="LOL1"/>
    <s v="CO007"/>
    <s v="CONOPIDA 450G"/>
    <n v="2343"/>
    <n v="8.4499999999999993"/>
    <n v="0.45"/>
    <x v="9"/>
    <n v="1"/>
    <x v="0"/>
    <n v="989.91750000000002"/>
    <n v="1054.3500000000001"/>
  </r>
  <r>
    <n v="16"/>
    <s v="LOL2"/>
    <s v="CO009"/>
    <s v="MAZARE 1KG"/>
    <n v="392"/>
    <n v="14.34"/>
    <n v="1"/>
    <x v="10"/>
    <n v="1"/>
    <x v="0"/>
    <n v="281.06400000000002"/>
    <n v="392"/>
  </r>
  <r>
    <n v="16"/>
    <s v="LOL2"/>
    <s v="CO010"/>
    <s v="CAPSUNI 450G"/>
    <n v="273"/>
    <n v="12.6"/>
    <n v="0.45"/>
    <x v="10"/>
    <n v="2"/>
    <x v="2"/>
    <n v="171.99"/>
    <n v="122.85000000000001"/>
  </r>
  <r>
    <n v="16"/>
    <s v="LOL2"/>
    <s v="CO011"/>
    <s v="ZMEURA 450G"/>
    <n v="394"/>
    <n v="14.7"/>
    <n v="0.45"/>
    <x v="10"/>
    <n v="2"/>
    <x v="2"/>
    <n v="289.58999999999997"/>
    <n v="177.3"/>
  </r>
  <r>
    <n v="16"/>
    <s v="LOL2"/>
    <s v="CO012"/>
    <s v="VISINE 450G"/>
    <n v="761"/>
    <n v="12.5"/>
    <n v="0.45"/>
    <x v="10"/>
    <n v="2"/>
    <x v="2"/>
    <n v="475.625"/>
    <n v="342.45"/>
  </r>
  <r>
    <n v="17"/>
    <s v="LOL3"/>
    <s v="CO013"/>
    <s v="CAPSUNI 1KG"/>
    <n v="935"/>
    <n v="22.12"/>
    <n v="1"/>
    <x v="11"/>
    <n v="2"/>
    <x v="2"/>
    <n v="1034.1100000000001"/>
    <n v="935"/>
  </r>
  <r>
    <n v="17"/>
    <s v="LOL3"/>
    <s v="CO014"/>
    <s v="AMESTEC HAWAIAN 1 KG"/>
    <n v="688"/>
    <n v="16.2"/>
    <n v="1"/>
    <x v="11"/>
    <n v="3"/>
    <x v="1"/>
    <n v="557.28000000000009"/>
    <n v="688"/>
  </r>
  <r>
    <n v="18"/>
    <s v="LOL5"/>
    <s v="CO015"/>
    <s v="AMESTEC MEXICAN 450G"/>
    <n v="522"/>
    <n v="8.1999999999999993"/>
    <n v="0.45"/>
    <x v="11"/>
    <n v="3"/>
    <x v="1"/>
    <n v="128.41199999999998"/>
    <n v="234.9"/>
  </r>
  <r>
    <n v="18"/>
    <s v="LOL5"/>
    <s v="CO002"/>
    <s v="FASOLE 450G"/>
    <n v="373"/>
    <n v="7.16"/>
    <n v="0.45"/>
    <x v="11"/>
    <n v="1"/>
    <x v="0"/>
    <n v="80.120399999999989"/>
    <n v="167.85"/>
  </r>
  <r>
    <n v="18"/>
    <s v="LOL5"/>
    <s v="CO006"/>
    <s v="BROCCOLI 450G"/>
    <n v="567"/>
    <n v="10.56"/>
    <n v="0.45"/>
    <x v="11"/>
    <n v="1"/>
    <x v="0"/>
    <n v="179.62560000000002"/>
    <n v="255.15"/>
  </r>
  <r>
    <n v="19"/>
    <s v="LOL7"/>
    <s v="CO004"/>
    <s v="MAZARE 450G"/>
    <n v="191"/>
    <n v="6.12"/>
    <n v="0.45"/>
    <x v="12"/>
    <n v="1"/>
    <x v="0"/>
    <n v="0"/>
    <n v="85.95"/>
  </r>
  <r>
    <n v="19"/>
    <s v="LOL7"/>
    <s v="CO021"/>
    <s v="AMESTEC MEXICAN 1KG"/>
    <n v="188"/>
    <n v="14.1"/>
    <n v="1"/>
    <x v="12"/>
    <n v="3"/>
    <x v="1"/>
    <n v="0"/>
    <n v="188"/>
  </r>
  <r>
    <n v="20"/>
    <s v="LOL1"/>
    <s v="CO006"/>
    <s v="BROCCOLI 450G"/>
    <n v="861"/>
    <n v="10.56"/>
    <n v="0.45"/>
    <x v="13"/>
    <n v="1"/>
    <x v="0"/>
    <n v="454.608"/>
    <n v="387.45"/>
  </r>
  <r>
    <n v="20"/>
    <s v="LOL1"/>
    <s v="CO004"/>
    <s v="MAZARE 450G"/>
    <n v="639"/>
    <n v="6.12"/>
    <n v="0.45"/>
    <x v="13"/>
    <n v="1"/>
    <x v="0"/>
    <n v="195.53400000000002"/>
    <n v="287.55"/>
  </r>
  <r>
    <n v="20"/>
    <s v="LOL1"/>
    <s v="CO021"/>
    <s v="AMESTEC MEXICAN 1KG"/>
    <n v="363"/>
    <n v="14.1"/>
    <n v="1"/>
    <x v="13"/>
    <n v="3"/>
    <x v="1"/>
    <n v="255.91500000000002"/>
    <n v="363"/>
  </r>
  <r>
    <n v="21"/>
    <s v="LOL3"/>
    <s v="CO002"/>
    <s v="FASOLE 450G"/>
    <n v="291"/>
    <n v="7.16"/>
    <n v="0.45"/>
    <x v="13"/>
    <n v="1"/>
    <x v="0"/>
    <n v="0"/>
    <n v="130.95000000000002"/>
  </r>
  <r>
    <n v="22"/>
    <s v="LOL2"/>
    <s v="CO014"/>
    <s v="AMESTEC HAWAIAN 1 KG"/>
    <n v="482"/>
    <n v="16.2"/>
    <n v="1"/>
    <x v="14"/>
    <n v="3"/>
    <x v="1"/>
    <n v="234.25199999999998"/>
    <n v="482"/>
  </r>
  <r>
    <n v="22"/>
    <s v="LOL2"/>
    <s v="CO013"/>
    <s v="CAPSUNI 1KG"/>
    <n v="210"/>
    <n v="22.12"/>
    <n v="1"/>
    <x v="14"/>
    <n v="2"/>
    <x v="2"/>
    <n v="139.35599999999999"/>
    <n v="210"/>
  </r>
  <r>
    <n v="23"/>
    <s v="LOL4"/>
    <s v="CO014"/>
    <s v="AMESTEC HAWAIAN 1 KG"/>
    <n v="486"/>
    <n v="16.2"/>
    <n v="1"/>
    <x v="14"/>
    <n v="3"/>
    <x v="1"/>
    <n v="236.196"/>
    <n v="486"/>
  </r>
  <r>
    <n v="23"/>
    <s v="LOL4"/>
    <s v="CO006"/>
    <s v="BROCCOLI 450G"/>
    <n v="981"/>
    <n v="10.56"/>
    <n v="0.45"/>
    <x v="14"/>
    <n v="1"/>
    <x v="0"/>
    <n v="310.7808"/>
    <n v="441.45"/>
  </r>
  <r>
    <n v="24"/>
    <s v="LOL5"/>
    <s v="CO004"/>
    <s v="MAZARE 450G"/>
    <n v="396"/>
    <n v="6.12"/>
    <n v="0.45"/>
    <x v="15"/>
    <n v="1"/>
    <x v="0"/>
    <n v="0"/>
    <n v="178.20000000000002"/>
  </r>
  <r>
    <n v="24"/>
    <s v="LOL5"/>
    <s v="CO021"/>
    <s v="AMESTEC MEXICAN 1KG"/>
    <n v="76"/>
    <n v="14.1"/>
    <n v="1"/>
    <x v="15"/>
    <n v="3"/>
    <x v="1"/>
    <n v="0"/>
    <n v="76"/>
  </r>
  <r>
    <n v="25"/>
    <s v="LOL3"/>
    <s v="CO009"/>
    <s v="MAZARE 1KG"/>
    <n v="991"/>
    <n v="14.34"/>
    <n v="1"/>
    <x v="15"/>
    <n v="1"/>
    <x v="0"/>
    <n v="710.54700000000003"/>
    <n v="991"/>
  </r>
  <r>
    <n v="25"/>
    <s v="LOL3"/>
    <s v="CO010"/>
    <s v="CAPSUNI 450G"/>
    <n v="424"/>
    <n v="12.6"/>
    <n v="0.45"/>
    <x v="15"/>
    <n v="2"/>
    <x v="2"/>
    <n v="267.12"/>
    <n v="190.8"/>
  </r>
  <r>
    <n v="25"/>
    <s v="LOL3"/>
    <s v="CO011"/>
    <s v="ZMEURA 450G"/>
    <n v="110"/>
    <n v="14.7"/>
    <n v="0.45"/>
    <x v="15"/>
    <n v="2"/>
    <x v="2"/>
    <n v="80.850000000000009"/>
    <n v="49.5"/>
  </r>
  <r>
    <n v="26"/>
    <s v="LOL2"/>
    <s v="CO006"/>
    <s v="BROCCOLI 450G"/>
    <n v="355"/>
    <n v="10.56"/>
    <n v="0.45"/>
    <x v="16"/>
    <n v="1"/>
    <x v="0"/>
    <n v="0"/>
    <n v="159.75"/>
  </r>
  <r>
    <n v="28"/>
    <s v="LOL5"/>
    <s v="CO004"/>
    <s v="MAZARE 450G"/>
    <n v="807"/>
    <n v="6.12"/>
    <n v="0.45"/>
    <x v="16"/>
    <n v="1"/>
    <x v="0"/>
    <n v="148.1652"/>
    <n v="363.15000000000003"/>
  </r>
  <r>
    <n v="28"/>
    <s v="LOL5"/>
    <s v="CO021"/>
    <s v="AMESTEC MEXICAN 1KG"/>
    <n v="235"/>
    <n v="14.1"/>
    <n v="1"/>
    <x v="16"/>
    <n v="3"/>
    <x v="1"/>
    <n v="99.405000000000001"/>
    <n v="235"/>
  </r>
  <r>
    <n v="29"/>
    <s v="LOL3"/>
    <s v="CO006"/>
    <s v="BROCCOLI 450G"/>
    <n v="32"/>
    <n v="10.56"/>
    <n v="0.45"/>
    <x v="17"/>
    <n v="1"/>
    <x v="0"/>
    <n v="0"/>
    <n v="14.4"/>
  </r>
  <r>
    <n v="30"/>
    <s v="LOL2"/>
    <s v="CO010"/>
    <s v="CAPSUNI 450G"/>
    <n v="441"/>
    <n v="12.6"/>
    <n v="0.45"/>
    <x v="17"/>
    <n v="2"/>
    <x v="2"/>
    <n v="0"/>
    <n v="198.45000000000002"/>
  </r>
  <r>
    <n v="31"/>
    <s v="LOL4"/>
    <s v="CO011"/>
    <s v="ZMEURA 450G"/>
    <n v="212"/>
    <n v="15.141"/>
    <n v="0.45"/>
    <x v="18"/>
    <n v="2"/>
    <x v="2"/>
    <n v="0"/>
    <n v="95.4"/>
  </r>
  <r>
    <n v="32"/>
    <s v="LOL5"/>
    <s v="CO012"/>
    <s v="VISINE 450G"/>
    <n v="566"/>
    <n v="12.875"/>
    <n v="0.45"/>
    <x v="18"/>
    <n v="2"/>
    <x v="2"/>
    <n v="0"/>
    <n v="254.70000000000002"/>
  </r>
  <r>
    <n v="33"/>
    <s v="LOL3"/>
    <s v="CO013"/>
    <s v="CAPSUNI 1KG"/>
    <n v="810"/>
    <n v="22.7836"/>
    <n v="1"/>
    <x v="18"/>
    <n v="2"/>
    <x v="2"/>
    <n v="922.73580000000004"/>
    <n v="810"/>
  </r>
  <r>
    <n v="33"/>
    <s v="LOL3"/>
    <s v="CO014"/>
    <s v="AMESTEC HAWAIAN 1 KG"/>
    <n v="457"/>
    <n v="16.847999999999999"/>
    <n v="1"/>
    <x v="18"/>
    <n v="3"/>
    <x v="1"/>
    <n v="384.97679999999997"/>
    <n v="457"/>
  </r>
  <r>
    <n v="33"/>
    <s v="LOL3"/>
    <s v="CO006"/>
    <s v="BROCCOLI 450G"/>
    <n v="804"/>
    <n v="11.088000000000001"/>
    <n v="0.45"/>
    <x v="18"/>
    <n v="1"/>
    <x v="0"/>
    <n v="445.73760000000004"/>
    <n v="361.8"/>
  </r>
  <r>
    <n v="34"/>
    <s v="LOL2"/>
    <s v="CO004"/>
    <s v="MAZARE 450G"/>
    <n v="484"/>
    <n v="6.4260000000000002"/>
    <n v="0.45"/>
    <x v="19"/>
    <n v="1"/>
    <x v="0"/>
    <n v="93.305520000000001"/>
    <n v="217.8"/>
  </r>
  <r>
    <n v="34"/>
    <s v="LOL2"/>
    <s v="CO006"/>
    <s v="BROCCOLI 450G"/>
    <n v="736"/>
    <n v="11.088000000000001"/>
    <n v="0.45"/>
    <x v="19"/>
    <n v="1"/>
    <x v="0"/>
    <n v="244.82304000000002"/>
    <n v="331.2"/>
  </r>
  <r>
    <n v="35"/>
    <s v="LOL4"/>
    <s v="CO010"/>
    <s v="CAPSUNI 450G"/>
    <n v="592"/>
    <n v="12.978"/>
    <n v="0.45"/>
    <x v="20"/>
    <n v="2"/>
    <x v="2"/>
    <n v="230.48927999999998"/>
    <n v="266.40000000000003"/>
  </r>
  <r>
    <n v="35"/>
    <s v="LOL4"/>
    <s v="CO011"/>
    <s v="ZMEURA 450G"/>
    <n v="593"/>
    <n v="15.141"/>
    <n v="0.45"/>
    <x v="20"/>
    <n v="2"/>
    <x v="2"/>
    <n v="269.35838999999999"/>
    <n v="266.85000000000002"/>
  </r>
  <r>
    <n v="36"/>
    <s v="LOL5"/>
    <s v="CO006"/>
    <s v="BROCCOLI 450G"/>
    <n v="7"/>
    <n v="11.088000000000001"/>
    <n v="0.45"/>
    <x v="20"/>
    <n v="1"/>
    <x v="0"/>
    <n v="0"/>
    <n v="3.15"/>
  </r>
  <r>
    <n v="36"/>
    <s v="LOL5"/>
    <s v="CO004"/>
    <s v="MAZARE 450G"/>
    <n v="433"/>
    <n v="6.4260000000000002"/>
    <n v="0.45"/>
    <x v="20"/>
    <n v="1"/>
    <x v="0"/>
    <n v="0"/>
    <n v="194.85"/>
  </r>
  <r>
    <n v="36"/>
    <s v="LOL5"/>
    <s v="CO021"/>
    <s v="AMESTEC MEXICAN 1KG"/>
    <n v="5"/>
    <n v="14.664"/>
    <n v="1"/>
    <x v="20"/>
    <n v="3"/>
    <x v="1"/>
    <n v="0"/>
    <n v="5"/>
  </r>
  <r>
    <n v="37"/>
    <s v="LOL3"/>
    <s v="CO006"/>
    <s v="BROCCOLI 450G"/>
    <n v="736"/>
    <n v="11.088000000000001"/>
    <n v="0.45"/>
    <x v="20"/>
    <n v="1"/>
    <x v="0"/>
    <n v="0"/>
    <n v="331.2"/>
  </r>
  <r>
    <n v="37"/>
    <s v="LOL3"/>
    <s v="CO004"/>
    <s v="MAZARE 450G"/>
    <n v="23"/>
    <n v="6.4260000000000002"/>
    <n v="0.45"/>
    <x v="20"/>
    <n v="1"/>
    <x v="0"/>
    <n v="0"/>
    <n v="10.35"/>
  </r>
  <r>
    <n v="37"/>
    <s v="LOL3"/>
    <s v="CO011"/>
    <s v="ZMEURA 450G"/>
    <n v="224"/>
    <n v="15.141"/>
    <n v="0.45"/>
    <x v="20"/>
    <n v="2"/>
    <x v="2"/>
    <n v="0"/>
    <n v="100.8"/>
  </r>
  <r>
    <n v="38"/>
    <s v="LOL2"/>
    <s v="CO011"/>
    <s v="ZMEURA 450G"/>
    <n v="785"/>
    <n v="15.141"/>
    <n v="0.45"/>
    <x v="20"/>
    <n v="2"/>
    <x v="2"/>
    <n v="0"/>
    <n v="353.25"/>
  </r>
  <r>
    <n v="39"/>
    <s v="LOL3"/>
    <s v="CO004"/>
    <s v="MAZARE 450G"/>
    <n v="949"/>
    <n v="6.4260000000000002"/>
    <n v="0.45"/>
    <x v="21"/>
    <n v="1"/>
    <x v="0"/>
    <n v="0"/>
    <n v="427.05"/>
  </r>
  <r>
    <n v="40"/>
    <s v="LOL2"/>
    <s v="CO021"/>
    <s v="AMESTEC MEXICAN 1KG"/>
    <n v="119"/>
    <n v="14.664"/>
    <n v="1"/>
    <x v="22"/>
    <n v="3"/>
    <x v="1"/>
    <n v="0"/>
    <n v="119"/>
  </r>
  <r>
    <n v="41"/>
    <s v="LOL4"/>
    <s v="CO006"/>
    <s v="BROCCOLI 450G"/>
    <n v="495"/>
    <n v="11.088000000000001"/>
    <n v="0.45"/>
    <x v="22"/>
    <n v="1"/>
    <x v="0"/>
    <n v="0"/>
    <n v="222.75"/>
  </r>
  <r>
    <n v="41"/>
    <s v="LOL4"/>
    <s v="CO004"/>
    <s v="MAZARE 450G"/>
    <n v="11"/>
    <n v="6.4260000000000002"/>
    <n v="0.45"/>
    <x v="22"/>
    <n v="1"/>
    <x v="0"/>
    <n v="0"/>
    <n v="4.95"/>
  </r>
  <r>
    <n v="42"/>
    <s v="LOL5"/>
    <s v="CO011"/>
    <s v="ZMEURA 450G"/>
    <n v="829"/>
    <n v="15.141"/>
    <n v="0.45"/>
    <x v="22"/>
    <n v="2"/>
    <x v="2"/>
    <n v="0"/>
    <n v="373.05"/>
  </r>
  <r>
    <n v="42"/>
    <s v="LOL5"/>
    <s v="CO012"/>
    <s v="VISINE 450G"/>
    <n v="98"/>
    <n v="12.875"/>
    <n v="0.45"/>
    <x v="22"/>
    <n v="2"/>
    <x v="2"/>
    <n v="0"/>
    <n v="44.1"/>
  </r>
  <r>
    <n v="42"/>
    <s v="LOL5"/>
    <s v="CO013"/>
    <s v="CAPSUNI 1KG"/>
    <n v="31"/>
    <n v="22.7836"/>
    <n v="1"/>
    <x v="22"/>
    <n v="2"/>
    <x v="2"/>
    <n v="0"/>
    <n v="31"/>
  </r>
  <r>
    <n v="43"/>
    <s v="LOL3"/>
    <s v="CO004"/>
    <s v="MAZARE 450G"/>
    <n v="335"/>
    <n v="6.4260000000000002"/>
    <n v="0.45"/>
    <x v="23"/>
    <n v="1"/>
    <x v="0"/>
    <n v="0"/>
    <n v="150.75"/>
  </r>
  <r>
    <n v="44"/>
    <s v="LOL4"/>
    <s v="CO021"/>
    <s v="AMESTEC MEXICAN 1KG"/>
    <n v="363"/>
    <n v="14.664"/>
    <n v="1"/>
    <x v="23"/>
    <n v="3"/>
    <x v="1"/>
    <n v="159.69095999999999"/>
    <n v="363"/>
  </r>
  <r>
    <n v="44"/>
    <s v="LOL4"/>
    <s v="CO002"/>
    <s v="FASOLE 450G"/>
    <n v="871"/>
    <n v="7.5179999999999998"/>
    <n v="0.45"/>
    <x v="23"/>
    <n v="1"/>
    <x v="0"/>
    <n v="196.44533999999999"/>
    <n v="391.95"/>
  </r>
  <r>
    <n v="45"/>
    <s v="LOL1"/>
    <s v="CO004"/>
    <s v="MAZARE 450G"/>
    <n v="223"/>
    <n v="6.4260000000000002"/>
    <n v="0.45"/>
    <x v="24"/>
    <n v="1"/>
    <x v="0"/>
    <n v="42.989939999999997"/>
    <n v="100.35000000000001"/>
  </r>
  <r>
    <n v="45"/>
    <s v="LOL1"/>
    <s v="CO014"/>
    <s v="AMESTEC HAWAIAN 1 KG"/>
    <n v="89"/>
    <n v="16.847999999999999"/>
    <n v="1"/>
    <x v="24"/>
    <n v="3"/>
    <x v="1"/>
    <n v="44.984159999999996"/>
    <n v="89"/>
  </r>
  <r>
    <n v="45"/>
    <s v="LOL1"/>
    <s v="CO013"/>
    <s v="CAPSUNI 1KG"/>
    <n v="339"/>
    <n v="22.7836"/>
    <n v="1"/>
    <x v="24"/>
    <n v="2"/>
    <x v="2"/>
    <n v="231.70921200000001"/>
    <n v="339"/>
  </r>
  <r>
    <n v="46"/>
    <s v="LOL7"/>
    <s v="CO009"/>
    <s v="MAZARE 1KG"/>
    <n v="44"/>
    <n v="15.057"/>
    <n v="1"/>
    <x v="25"/>
    <n v="1"/>
    <x v="0"/>
    <n v="0"/>
    <n v="44"/>
  </r>
  <r>
    <n v="47"/>
    <s v="LOL5"/>
    <s v="CO010"/>
    <s v="CAPSUNI 450G"/>
    <n v="385"/>
    <n v="12.978"/>
    <n v="0.45"/>
    <x v="26"/>
    <n v="2"/>
    <x v="2"/>
    <n v="149.89589999999998"/>
    <n v="173.25"/>
  </r>
  <r>
    <n v="47"/>
    <s v="LOL5"/>
    <s v="CO011"/>
    <s v="ZMEURA 450G"/>
    <n v="187"/>
    <n v="15.141"/>
    <n v="0.45"/>
    <x v="26"/>
    <n v="2"/>
    <x v="2"/>
    <n v="84.941010000000006"/>
    <n v="84.15"/>
  </r>
  <r>
    <n v="47"/>
    <s v="LOL5"/>
    <s v="CO012"/>
    <s v="VISINE 450G"/>
    <n v="997"/>
    <n v="12.875"/>
    <n v="0.45"/>
    <x v="26"/>
    <n v="2"/>
    <x v="2"/>
    <n v="385.09125"/>
    <n v="448.65000000000003"/>
  </r>
  <r>
    <n v="48"/>
    <s v="LOL1"/>
    <s v="CO013"/>
    <s v="CAPSUNI 1KG"/>
    <n v="395"/>
    <n v="22.7836"/>
    <n v="1"/>
    <x v="27"/>
    <n v="2"/>
    <x v="2"/>
    <n v="269.98566"/>
    <n v="395"/>
  </r>
  <r>
    <n v="48"/>
    <s v="LOL1"/>
    <s v="CO014"/>
    <s v="AMESTEC HAWAIAN 1 KG"/>
    <n v="517"/>
    <n v="16.847999999999999"/>
    <n v="1"/>
    <x v="27"/>
    <n v="3"/>
    <x v="1"/>
    <n v="261.31247999999999"/>
    <n v="517"/>
  </r>
  <r>
    <n v="49"/>
    <s v="LOL3"/>
    <s v="CO015"/>
    <s v="AMESTEC MEXICAN 450G"/>
    <n v="225"/>
    <n v="8.5279999999999987"/>
    <n v="0.45"/>
    <x v="28"/>
    <n v="3"/>
    <x v="1"/>
    <n v="0"/>
    <n v="101.25"/>
  </r>
  <r>
    <n v="49"/>
    <s v="LOL3"/>
    <s v="CO002"/>
    <s v="FASOLE 450G"/>
    <n v="13"/>
    <n v="7.5179999999999998"/>
    <n v="0.45"/>
    <x v="28"/>
    <n v="1"/>
    <x v="0"/>
    <n v="0"/>
    <n v="5.8500000000000005"/>
  </r>
  <r>
    <n v="49"/>
    <s v="LOL3"/>
    <s v="CO006"/>
    <s v="BROCCOLI 450G"/>
    <n v="757"/>
    <n v="11.088000000000001"/>
    <n v="0.45"/>
    <x v="28"/>
    <n v="1"/>
    <x v="0"/>
    <n v="0"/>
    <n v="340.65000000000003"/>
  </r>
  <r>
    <n v="49"/>
    <s v="LOL3"/>
    <s v="CO004"/>
    <s v="MAZARE 450G"/>
    <n v="61"/>
    <n v="6.4260000000000002"/>
    <n v="0.45"/>
    <x v="28"/>
    <n v="1"/>
    <x v="0"/>
    <n v="0"/>
    <n v="27.45"/>
  </r>
  <r>
    <n v="50"/>
    <s v="LOL2"/>
    <s v="CO013"/>
    <s v="CAPSUNI 1KG"/>
    <n v="966"/>
    <n v="22.7836"/>
    <n v="1"/>
    <x v="29"/>
    <n v="2"/>
    <x v="2"/>
    <n v="1100.4478800000002"/>
    <n v="966"/>
  </r>
  <r>
    <n v="50"/>
    <s v="LOL2"/>
    <s v="CO009"/>
    <s v="MAZARE 1KG"/>
    <n v="950"/>
    <n v="15.057"/>
    <n v="1"/>
    <x v="29"/>
    <n v="1"/>
    <x v="0"/>
    <n v="715.20749999999998"/>
    <n v="950"/>
  </r>
  <r>
    <n v="51"/>
    <s v="LOL4"/>
    <s v="CO011"/>
    <s v="ZMEURA 450G"/>
    <n v="916"/>
    <n v="15.141"/>
    <n v="0.45"/>
    <x v="30"/>
    <n v="2"/>
    <x v="2"/>
    <n v="0"/>
    <n v="412.2"/>
  </r>
  <r>
    <n v="52"/>
    <s v="LOL5"/>
    <s v="CO004"/>
    <s v="MAZARE 450G"/>
    <n v="712"/>
    <n v="6.4260000000000002"/>
    <n v="0.45"/>
    <x v="31"/>
    <n v="1"/>
    <x v="0"/>
    <n v="137.25935999999999"/>
    <n v="320.40000000000003"/>
  </r>
  <r>
    <n v="52"/>
    <s v="LOL5"/>
    <s v="CO006"/>
    <s v="BROCCOLI 450G"/>
    <n v="482"/>
    <n v="11.088000000000001"/>
    <n v="0.45"/>
    <x v="31"/>
    <n v="1"/>
    <x v="0"/>
    <n v="160.33248"/>
    <n v="216.9"/>
  </r>
  <r>
    <n v="53"/>
    <s v="LOL3"/>
    <s v="CO004"/>
    <s v="MAZARE 450G"/>
    <n v="368"/>
    <n v="6.4260000000000002"/>
    <n v="0.45"/>
    <x v="31"/>
    <n v="1"/>
    <x v="0"/>
    <n v="70.943039999999996"/>
    <n v="165.6"/>
  </r>
  <r>
    <n v="53"/>
    <s v="LOL3"/>
    <s v="CO013"/>
    <s v="CAPSUNI 1KG"/>
    <n v="803"/>
    <n v="22.7836"/>
    <n v="1"/>
    <x v="31"/>
    <n v="2"/>
    <x v="2"/>
    <n v="548.85692400000005"/>
    <n v="803"/>
  </r>
  <r>
    <n v="54"/>
    <s v="LOL2"/>
    <s v="CO009"/>
    <s v="MAZARE 1KG"/>
    <n v="760"/>
    <n v="15.057"/>
    <n v="1"/>
    <x v="32"/>
    <n v="1"/>
    <x v="0"/>
    <n v="343.2996"/>
    <n v="760"/>
  </r>
  <r>
    <n v="55"/>
    <s v="LOL5"/>
    <s v="CO006"/>
    <s v="BROCCOLI 450G"/>
    <n v="400"/>
    <n v="11.088000000000001"/>
    <n v="0.45"/>
    <x v="33"/>
    <n v="1"/>
    <x v="0"/>
    <n v="0"/>
    <n v="180"/>
  </r>
  <r>
    <n v="55"/>
    <s v="LOL5"/>
    <s v="CO004"/>
    <s v="MAZARE 450G"/>
    <n v="362"/>
    <n v="6.4260000000000002"/>
    <n v="0.45"/>
    <x v="33"/>
    <n v="1"/>
    <x v="0"/>
    <n v="0"/>
    <n v="162.9"/>
  </r>
  <r>
    <n v="56"/>
    <s v="LOL3"/>
    <s v="CO021"/>
    <s v="AMESTEC MEXICAN 1KG"/>
    <n v="183"/>
    <n v="14.664"/>
    <n v="1"/>
    <x v="33"/>
    <n v="3"/>
    <x v="1"/>
    <n v="0"/>
    <n v="183"/>
  </r>
  <r>
    <n v="57"/>
    <s v="LOL4"/>
    <s v="CO004"/>
    <s v="MAZARE 450G"/>
    <n v="570"/>
    <n v="6.4260000000000002"/>
    <n v="0.45"/>
    <x v="34"/>
    <n v="1"/>
    <x v="0"/>
    <n v="109.88460000000001"/>
    <n v="256.5"/>
  </r>
  <r>
    <n v="57"/>
    <s v="LOL4"/>
    <s v="CO009"/>
    <s v="MAZARE 1KG"/>
    <n v="162"/>
    <n v="15.057"/>
    <n v="1"/>
    <x v="34"/>
    <n v="1"/>
    <x v="0"/>
    <n v="73.177019999999999"/>
    <n v="162"/>
  </r>
  <r>
    <n v="57"/>
    <s v="LOL4"/>
    <s v="CO006"/>
    <s v="BROCCOLI 450G"/>
    <n v="348"/>
    <n v="11.088000000000001"/>
    <n v="0.45"/>
    <x v="34"/>
    <n v="1"/>
    <x v="0"/>
    <n v="115.75872"/>
    <n v="156.6"/>
  </r>
  <r>
    <n v="58"/>
    <s v="LOL1"/>
    <s v="CO013"/>
    <s v="CAPSUNI 1KG"/>
    <n v="771"/>
    <n v="22.7836"/>
    <n v="1"/>
    <x v="35"/>
    <n v="2"/>
    <x v="2"/>
    <n v="526.98466799999994"/>
    <n v="771"/>
  </r>
  <r>
    <n v="59"/>
    <s v="LOL7"/>
    <s v="CO009"/>
    <s v="MAZARE 1KG"/>
    <n v="371"/>
    <n v="15.057"/>
    <n v="1"/>
    <x v="36"/>
    <n v="1"/>
    <x v="0"/>
    <n v="167.58440999999999"/>
    <n v="371"/>
  </r>
  <r>
    <n v="59"/>
    <s v="LOL7"/>
    <s v="CO004"/>
    <s v="MAZARE 450G"/>
    <n v="385"/>
    <n v="6.4260000000000002"/>
    <n v="0.45"/>
    <x v="36"/>
    <n v="1"/>
    <x v="0"/>
    <n v="74.220300000000009"/>
    <n v="173.25"/>
  </r>
  <r>
    <n v="60"/>
    <s v="LOL5"/>
    <s v="CO004"/>
    <s v="MAZARE 450G"/>
    <n v="631"/>
    <n v="6.4260000000000002"/>
    <n v="0.45"/>
    <x v="36"/>
    <n v="1"/>
    <x v="0"/>
    <n v="121.64417999999999"/>
    <n v="283.95"/>
  </r>
  <r>
    <n v="60"/>
    <s v="LOL5"/>
    <s v="CO006"/>
    <s v="BROCCOLI 450G"/>
    <n v="944"/>
    <n v="11.088000000000001"/>
    <n v="0.45"/>
    <x v="36"/>
    <n v="1"/>
    <x v="0"/>
    <n v="314.01215999999999"/>
    <n v="424.8"/>
  </r>
  <r>
    <n v="61"/>
    <s v="LOL1"/>
    <s v="CO011"/>
    <s v="ZMEURA 450G"/>
    <n v="844"/>
    <n v="15.141"/>
    <n v="0.45"/>
    <x v="37"/>
    <n v="2"/>
    <x v="2"/>
    <n v="0"/>
    <n v="379.8"/>
  </r>
  <r>
    <n v="62"/>
    <s v="LOL3"/>
    <s v="CO004"/>
    <s v="MAZARE 450G"/>
    <n v="719"/>
    <n v="6.4260000000000002"/>
    <n v="0.45"/>
    <x v="37"/>
    <n v="1"/>
    <x v="0"/>
    <n v="231.0147"/>
    <n v="323.55"/>
  </r>
  <r>
    <n v="62"/>
    <s v="LOL3"/>
    <s v="CO009"/>
    <s v="MAZARE 1KG"/>
    <n v="530"/>
    <n v="15.057"/>
    <n v="1"/>
    <x v="37"/>
    <n v="1"/>
    <x v="0"/>
    <n v="399.01050000000004"/>
    <n v="530"/>
  </r>
  <r>
    <n v="62"/>
    <s v="LOL3"/>
    <s v="CO011"/>
    <s v="ZMEURA 450G"/>
    <n v="418"/>
    <n v="15.141"/>
    <n v="0.45"/>
    <x v="37"/>
    <n v="2"/>
    <x v="2"/>
    <n v="316.44690000000003"/>
    <n v="188.1"/>
  </r>
  <r>
    <n v="62"/>
    <s v="LOL3"/>
    <s v="CO002"/>
    <s v="FASOLE 450G"/>
    <n v="297"/>
    <n v="7.5179999999999998"/>
    <n v="0.45"/>
    <x v="37"/>
    <n v="1"/>
    <x v="0"/>
    <n v="111.64230000000001"/>
    <n v="133.65"/>
  </r>
  <r>
    <n v="63"/>
    <s v="LOL2"/>
    <s v="CO004"/>
    <s v="MAZARE 450G"/>
    <n v="276"/>
    <n v="6.4260000000000002"/>
    <n v="0.45"/>
    <x v="38"/>
    <n v="1"/>
    <x v="0"/>
    <n v="0"/>
    <n v="124.2"/>
  </r>
  <r>
    <n v="64"/>
    <s v="LOL4"/>
    <s v="CO002"/>
    <s v="FASOLE 450G"/>
    <n v="851"/>
    <n v="7.5179999999999998"/>
    <n v="0.45"/>
    <x v="38"/>
    <n v="1"/>
    <x v="0"/>
    <n v="0"/>
    <n v="382.95"/>
  </r>
  <r>
    <n v="65"/>
    <s v="LOL5"/>
    <s v="CO009"/>
    <s v="MAZARE 1KG"/>
    <n v="815"/>
    <n v="15.057"/>
    <n v="1"/>
    <x v="38"/>
    <n v="1"/>
    <x v="0"/>
    <n v="368.14364999999998"/>
    <n v="8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16:D21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showAll="0"/>
    <pivotField axis="axisRow" showAll="0">
      <items count="4">
        <item x="2"/>
        <item x="0"/>
        <item sd="0" x="1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multipleItemSelectionAllowe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 v="1"/>
    </i>
    <i>
      <x v="2"/>
    </i>
    <i t="grand">
      <x/>
    </i>
  </colItems>
  <dataFields count="1">
    <dataField name="Sum of greutate_kg" fld="11" baseField="0" baseItem="0"/>
  </dataFields>
  <formats count="19">
    <format dxfId="45">
      <pivotArea type="origin" dataOnly="0" labelOnly="1" outline="0" fieldPosition="0"/>
    </format>
    <format dxfId="44">
      <pivotArea field="13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9" type="button" dataOnly="0" labelOnly="1" outline="0" axis="axisRow" fieldPosition="0"/>
    </format>
    <format dxfId="41">
      <pivotArea type="origin" dataOnly="0" labelOnly="1" outline="0" fieldPosition="0"/>
    </format>
    <format dxfId="40">
      <pivotArea field="13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9" type="button" dataOnly="0" labelOnly="1" outline="0" axis="axisRow" fieldPosition="0"/>
    </format>
    <format dxfId="37">
      <pivotArea grandRow="1" outline="0" collapsedLevelsAreSubtotals="1" fieldPosition="0"/>
    </format>
    <format dxfId="36">
      <pivotArea grandRow="1" outline="0" collapsedLevelsAreSubtotals="1" fieldPosition="0"/>
    </format>
    <format dxfId="35">
      <pivotArea dataOnly="0" grandRow="1" axis="axisRow" fieldPosition="0"/>
    </format>
    <format dxfId="15">
      <pivotArea collapsedLevelsAreSubtotals="1" fieldPosition="0">
        <references count="1">
          <reference field="9" count="0"/>
        </references>
      </pivotArea>
    </format>
    <format dxfId="13">
      <pivotArea dataOnly="0" labelOnly="1" fieldPosition="0">
        <references count="1">
          <reference field="9" count="0"/>
        </references>
      </pivotArea>
    </format>
    <format dxfId="11">
      <pivotArea dataOnly="0" labelOnly="1" fieldPosition="0">
        <references count="1">
          <reference field="13" count="2">
            <x v="1"/>
            <x v="2"/>
          </reference>
        </references>
      </pivotArea>
    </format>
    <format dxfId="4">
      <pivotArea dataOnly="0" labelOnly="1" grandCol="1" outline="0" fieldPosition="0"/>
    </format>
    <format dxfId="3">
      <pivotArea dataOnly="0" labelOnly="1" grandRow="1" outline="0" fieldPosition="0"/>
    </format>
    <format dxfId="2">
      <pivotArea field="13" grandRow="1" outline="0" collapsedLevelsAreSubtotals="1" axis="axisCol" fieldPosition="0">
        <references count="1">
          <reference field="13" count="1" selected="0">
            <x v="1"/>
          </reference>
        </references>
      </pivotArea>
    </format>
    <format dxfId="1">
      <pivotArea field="13" grandRow="1" outline="0" collapsedLevelsAreSubtotals="1" axis="axisCol" fieldPosition="0">
        <references count="1">
          <reference field="13" count="1" selected="0">
            <x v="2"/>
          </reference>
        </references>
      </pivotArea>
    </format>
    <format dxfId="0">
      <pivotArea grandRow="1" grandCol="1" outline="0" collapsedLevelsAreSubtotals="1" fieldPosition="0"/>
    </format>
  </formats>
  <chartFormats count="11">
    <chartFormat chart="22" format="4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22" format="5" series="1">
      <pivotArea type="data" outline="0" fieldPosition="0">
        <references count="1">
          <reference field="13" count="1" selected="0">
            <x v="2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2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2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showAll="0"/>
    <pivotField axis="axisRow" showAll="0">
      <items count="4">
        <item sd="0" x="2"/>
        <item sd="0" x="0"/>
        <item sd="0" x="1"/>
        <item t="default" sd="0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multipleItemSelectionAllowe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reutate_kg" fld="11" showDataAs="percentOfTotal" baseField="9" baseItem="2" numFmtId="10"/>
  </dataFields>
  <formats count="5">
    <format dxfId="34">
      <pivotArea dataOnly="0" fieldPosition="0">
        <references count="1">
          <reference field="9" count="0"/>
        </references>
      </pivotArea>
    </format>
    <format dxfId="29">
      <pivotArea field="9" type="button" dataOnly="0" labelOnly="1" outline="0" axis="axisRow" fieldPosition="0"/>
    </format>
    <format dxfId="22">
      <pivotArea dataOnly="0" labelOnly="1" outline="0" axis="axisValues" fieldPosition="0"/>
    </format>
    <format dxfId="21">
      <pivotArea grandRow="1" outline="0" collapsedLevelsAreSubtotals="1" fieldPosition="0"/>
    </format>
    <format dxfId="16">
      <pivotArea dataOnly="0" labelOnly="1" grandRow="1" outline="0" fieldPosition="0"/>
    </format>
  </formats>
  <chartFormats count="8"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7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7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7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7" firstHeaderRow="1" firstDataRow="1" firstDataCol="1"/>
  <pivotFields count="1">
    <pivotField axis="axisRow" showAll="0">
      <items count="14">
        <item x="0"/>
        <item x="2"/>
        <item x="1"/>
        <item x="4"/>
        <item x="5"/>
        <item x="6"/>
        <item x="7"/>
        <item x="8"/>
        <item x="9"/>
        <item x="10"/>
        <item x="11"/>
        <item x="12"/>
        <item x="3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26"/>
  <sheetViews>
    <sheetView tabSelected="1" topLeftCell="D1" zoomScale="81" zoomScaleNormal="100" workbookViewId="0">
      <selection activeCell="D1" sqref="A1:XFD22"/>
    </sheetView>
  </sheetViews>
  <sheetFormatPr defaultRowHeight="14.25"/>
  <cols>
    <col min="1" max="1" width="18.875" style="8" customWidth="1"/>
    <col min="2" max="2" width="12.5" style="8" customWidth="1"/>
    <col min="3" max="3" width="18.875" style="8" customWidth="1"/>
    <col min="4" max="8" width="18.875" style="9" customWidth="1"/>
    <col min="9" max="9" width="13.125" style="9" customWidth="1"/>
    <col min="10" max="11" width="18.5" style="9" customWidth="1"/>
    <col min="12" max="12" width="10.5" style="9" customWidth="1"/>
  </cols>
  <sheetData>
    <row r="1" spans="1:12" s="12" customFormat="1">
      <c r="A1" s="11" t="s">
        <v>0</v>
      </c>
      <c r="B1" s="11" t="s">
        <v>2</v>
      </c>
      <c r="C1" s="11" t="s">
        <v>1</v>
      </c>
      <c r="D1" s="11" t="s">
        <v>3</v>
      </c>
      <c r="E1" s="11" t="s">
        <v>8</v>
      </c>
      <c r="F1" s="11" t="s">
        <v>4</v>
      </c>
      <c r="G1" s="11" t="s">
        <v>7</v>
      </c>
      <c r="H1" s="11" t="s">
        <v>5</v>
      </c>
      <c r="I1" s="11" t="s">
        <v>6</v>
      </c>
      <c r="J1" s="11" t="s">
        <v>47</v>
      </c>
      <c r="K1" s="11" t="s">
        <v>56</v>
      </c>
      <c r="L1" s="11" t="s">
        <v>54</v>
      </c>
    </row>
    <row r="2" spans="1:12">
      <c r="A2" s="8">
        <v>1</v>
      </c>
      <c r="B2" s="8" t="s">
        <v>41</v>
      </c>
      <c r="C2" s="8" t="s">
        <v>9</v>
      </c>
      <c r="D2" s="9" t="s">
        <v>27</v>
      </c>
      <c r="E2" s="9">
        <v>200</v>
      </c>
      <c r="F2" s="9">
        <v>19.649999999999999</v>
      </c>
      <c r="G2" s="9">
        <v>1</v>
      </c>
      <c r="H2" s="10">
        <v>45295</v>
      </c>
      <c r="I2" s="9">
        <v>1</v>
      </c>
      <c r="J2" s="9" t="str">
        <f t="shared" ref="J2:J33" si="0">VLOOKUP(I2, categorii, 2, FALSE)</f>
        <v>LEGUME</v>
      </c>
      <c r="K2" s="9">
        <f>IF(SUMIF(A$2:A$126,A2,L$2:L$126)&gt;1000,(E2*F2)*0.05, IF(SUMIF(A$2:A$126,A2,L$2:L$126)&gt;500,(E2*F2)*0.03,0))</f>
        <v>0</v>
      </c>
      <c r="L2" s="9">
        <f>G2*E2</f>
        <v>200</v>
      </c>
    </row>
    <row r="3" spans="1:12">
      <c r="A3" s="8">
        <v>1</v>
      </c>
      <c r="B3" s="8" t="s">
        <v>41</v>
      </c>
      <c r="C3" s="8" t="s">
        <v>10</v>
      </c>
      <c r="D3" s="9" t="s">
        <v>28</v>
      </c>
      <c r="E3" s="9">
        <v>44</v>
      </c>
      <c r="F3" s="9">
        <v>7.16</v>
      </c>
      <c r="G3" s="9">
        <v>0.45</v>
      </c>
      <c r="H3" s="10">
        <v>45295</v>
      </c>
      <c r="I3" s="9">
        <v>1</v>
      </c>
      <c r="J3" s="9" t="str">
        <f t="shared" si="0"/>
        <v>LEGUME</v>
      </c>
      <c r="K3" s="9">
        <f t="shared" ref="K3:K66" si="1">IF(SUMIF(A$2:A$126,A3,L$2:L$126)&gt;1000,(E3*F3)*0.05, IF(SUMIF(A$2:A$126,A3,L$2:L$126)&gt;500,(E3*F3)*0.03,0))</f>
        <v>0</v>
      </c>
      <c r="L3" s="9">
        <f t="shared" ref="L3:L66" si="2">G3*E3</f>
        <v>19.8</v>
      </c>
    </row>
    <row r="4" spans="1:12">
      <c r="A4" s="8">
        <v>1</v>
      </c>
      <c r="B4" s="8" t="s">
        <v>41</v>
      </c>
      <c r="C4" s="8" t="s">
        <v>12</v>
      </c>
      <c r="D4" s="9" t="s">
        <v>30</v>
      </c>
      <c r="E4" s="9">
        <v>24</v>
      </c>
      <c r="F4" s="9">
        <v>10.56</v>
      </c>
      <c r="G4" s="9">
        <v>0.45</v>
      </c>
      <c r="H4" s="10">
        <v>45295</v>
      </c>
      <c r="I4" s="9">
        <v>1</v>
      </c>
      <c r="J4" s="9" t="str">
        <f t="shared" si="0"/>
        <v>LEGUME</v>
      </c>
      <c r="K4" s="9">
        <f t="shared" si="1"/>
        <v>0</v>
      </c>
      <c r="L4" s="9">
        <f t="shared" si="2"/>
        <v>10.8</v>
      </c>
    </row>
    <row r="5" spans="1:12">
      <c r="A5" s="8">
        <v>2</v>
      </c>
      <c r="B5" s="8" t="s">
        <v>42</v>
      </c>
      <c r="C5" s="8" t="s">
        <v>12</v>
      </c>
      <c r="D5" s="9" t="s">
        <v>30</v>
      </c>
      <c r="E5" s="9">
        <v>495</v>
      </c>
      <c r="F5" s="9">
        <v>10.56</v>
      </c>
      <c r="G5" s="9">
        <v>0.45</v>
      </c>
      <c r="H5" s="10">
        <v>45295</v>
      </c>
      <c r="I5" s="9">
        <v>1</v>
      </c>
      <c r="J5" s="9" t="str">
        <f t="shared" si="0"/>
        <v>LEGUME</v>
      </c>
      <c r="K5" s="9">
        <f t="shared" si="1"/>
        <v>0</v>
      </c>
      <c r="L5" s="9">
        <f t="shared" si="2"/>
        <v>222.75</v>
      </c>
    </row>
    <row r="6" spans="1:12">
      <c r="A6" s="8">
        <v>2</v>
      </c>
      <c r="B6" s="8" t="s">
        <v>42</v>
      </c>
      <c r="C6" s="8" t="s">
        <v>11</v>
      </c>
      <c r="D6" s="9" t="s">
        <v>29</v>
      </c>
      <c r="E6" s="9">
        <v>210</v>
      </c>
      <c r="F6" s="9">
        <v>6.12</v>
      </c>
      <c r="G6" s="9">
        <v>0.45</v>
      </c>
      <c r="H6" s="10">
        <v>45295</v>
      </c>
      <c r="I6" s="9">
        <v>1</v>
      </c>
      <c r="J6" s="9" t="str">
        <f t="shared" si="0"/>
        <v>LEGUME</v>
      </c>
      <c r="K6" s="9">
        <f t="shared" si="1"/>
        <v>0</v>
      </c>
      <c r="L6" s="9">
        <f t="shared" si="2"/>
        <v>94.5</v>
      </c>
    </row>
    <row r="7" spans="1:12" hidden="1">
      <c r="A7">
        <v>3</v>
      </c>
      <c r="B7" t="s">
        <v>46</v>
      </c>
      <c r="C7" t="s">
        <v>16</v>
      </c>
      <c r="D7" t="s">
        <v>40</v>
      </c>
      <c r="E7">
        <v>1200</v>
      </c>
      <c r="F7">
        <v>14.1</v>
      </c>
      <c r="G7">
        <v>1</v>
      </c>
      <c r="H7" s="7">
        <v>45295</v>
      </c>
      <c r="I7">
        <v>3</v>
      </c>
      <c r="J7" t="str">
        <f t="shared" si="0"/>
        <v>MIXURI LEGUME</v>
      </c>
      <c r="K7">
        <f t="shared" si="1"/>
        <v>846</v>
      </c>
      <c r="L7">
        <f t="shared" si="2"/>
        <v>1200</v>
      </c>
    </row>
    <row r="8" spans="1:12">
      <c r="A8" s="8">
        <v>4</v>
      </c>
      <c r="B8" s="8" t="s">
        <v>42</v>
      </c>
      <c r="C8" s="8" t="s">
        <v>12</v>
      </c>
      <c r="D8" s="9" t="s">
        <v>30</v>
      </c>
      <c r="E8" s="9">
        <v>400</v>
      </c>
      <c r="F8" s="9">
        <v>10.56</v>
      </c>
      <c r="G8" s="9">
        <v>0.45</v>
      </c>
      <c r="H8" s="10">
        <v>45299</v>
      </c>
      <c r="I8" s="9">
        <v>1</v>
      </c>
      <c r="J8" s="9" t="str">
        <f t="shared" si="0"/>
        <v>LEGUME</v>
      </c>
      <c r="K8" s="9">
        <f t="shared" si="1"/>
        <v>0</v>
      </c>
      <c r="L8" s="9">
        <f t="shared" si="2"/>
        <v>180</v>
      </c>
    </row>
    <row r="9" spans="1:12">
      <c r="A9" s="8">
        <v>5</v>
      </c>
      <c r="B9" s="8" t="s">
        <v>43</v>
      </c>
      <c r="C9" s="8" t="s">
        <v>13</v>
      </c>
      <c r="D9" s="9" t="s">
        <v>31</v>
      </c>
      <c r="E9" s="9">
        <v>120</v>
      </c>
      <c r="F9" s="9">
        <v>8.4499999999999993</v>
      </c>
      <c r="G9" s="9">
        <v>0.45</v>
      </c>
      <c r="H9" s="10">
        <v>45299</v>
      </c>
      <c r="I9" s="9">
        <v>1</v>
      </c>
      <c r="J9" s="9" t="str">
        <f t="shared" si="0"/>
        <v>LEGUME</v>
      </c>
      <c r="K9" s="9">
        <f t="shared" si="1"/>
        <v>50.699999999999996</v>
      </c>
      <c r="L9" s="9">
        <f t="shared" si="2"/>
        <v>54</v>
      </c>
    </row>
    <row r="10" spans="1:12">
      <c r="A10" s="8">
        <v>5</v>
      </c>
      <c r="B10" s="8" t="s">
        <v>43</v>
      </c>
      <c r="C10" s="8" t="s">
        <v>14</v>
      </c>
      <c r="D10" s="9" t="s">
        <v>32</v>
      </c>
      <c r="E10" s="9">
        <v>434</v>
      </c>
      <c r="F10" s="9">
        <v>16.3</v>
      </c>
      <c r="G10" s="9">
        <v>1</v>
      </c>
      <c r="H10" s="10">
        <v>45299</v>
      </c>
      <c r="I10" s="9">
        <v>1</v>
      </c>
      <c r="J10" s="9" t="str">
        <f t="shared" si="0"/>
        <v>LEGUME</v>
      </c>
      <c r="K10" s="9">
        <f t="shared" si="1"/>
        <v>353.71000000000004</v>
      </c>
      <c r="L10" s="9">
        <f t="shared" si="2"/>
        <v>434</v>
      </c>
    </row>
    <row r="11" spans="1:12">
      <c r="A11" s="8">
        <v>5</v>
      </c>
      <c r="B11" s="8" t="s">
        <v>43</v>
      </c>
      <c r="C11" s="8" t="s">
        <v>15</v>
      </c>
      <c r="D11" s="9" t="s">
        <v>33</v>
      </c>
      <c r="E11" s="9">
        <v>2211</v>
      </c>
      <c r="F11" s="9">
        <v>14.34</v>
      </c>
      <c r="G11" s="9">
        <v>1</v>
      </c>
      <c r="H11" s="10">
        <v>45299</v>
      </c>
      <c r="I11" s="9">
        <v>1</v>
      </c>
      <c r="J11" s="9" t="str">
        <f t="shared" si="0"/>
        <v>LEGUME</v>
      </c>
      <c r="K11" s="9">
        <f t="shared" si="1"/>
        <v>1585.287</v>
      </c>
      <c r="L11" s="9">
        <f t="shared" si="2"/>
        <v>2211</v>
      </c>
    </row>
    <row r="12" spans="1:12" hidden="1">
      <c r="A12">
        <v>5</v>
      </c>
      <c r="B12" t="s">
        <v>43</v>
      </c>
      <c r="C12" t="s">
        <v>17</v>
      </c>
      <c r="D12" t="s">
        <v>34</v>
      </c>
      <c r="E12">
        <v>111</v>
      </c>
      <c r="F12">
        <v>12.6</v>
      </c>
      <c r="G12">
        <v>0.45</v>
      </c>
      <c r="H12" s="7">
        <v>45299</v>
      </c>
      <c r="I12">
        <v>2</v>
      </c>
      <c r="J12" t="str">
        <f t="shared" si="0"/>
        <v>FRUCTE</v>
      </c>
      <c r="K12">
        <f t="shared" si="1"/>
        <v>69.929999999999993</v>
      </c>
      <c r="L12">
        <f t="shared" si="2"/>
        <v>49.95</v>
      </c>
    </row>
    <row r="13" spans="1:12" hidden="1">
      <c r="A13">
        <v>6</v>
      </c>
      <c r="B13" t="s">
        <v>44</v>
      </c>
      <c r="C13" t="s">
        <v>18</v>
      </c>
      <c r="D13" t="s">
        <v>35</v>
      </c>
      <c r="E13">
        <v>12</v>
      </c>
      <c r="F13">
        <v>14.7</v>
      </c>
      <c r="G13">
        <v>0.45</v>
      </c>
      <c r="H13" s="7">
        <v>45300</v>
      </c>
      <c r="I13">
        <v>2</v>
      </c>
      <c r="J13" t="str">
        <f t="shared" si="0"/>
        <v>FRUCTE</v>
      </c>
      <c r="K13">
        <f t="shared" si="1"/>
        <v>0</v>
      </c>
      <c r="L13">
        <f t="shared" si="2"/>
        <v>5.4</v>
      </c>
    </row>
    <row r="14" spans="1:12" hidden="1">
      <c r="A14">
        <v>6</v>
      </c>
      <c r="B14" t="s">
        <v>44</v>
      </c>
      <c r="C14" t="s">
        <v>19</v>
      </c>
      <c r="D14" t="s">
        <v>36</v>
      </c>
      <c r="E14">
        <v>405</v>
      </c>
      <c r="F14">
        <v>12.5</v>
      </c>
      <c r="G14">
        <v>0.45</v>
      </c>
      <c r="H14" s="7">
        <v>45300</v>
      </c>
      <c r="I14">
        <v>2</v>
      </c>
      <c r="J14" t="str">
        <f t="shared" si="0"/>
        <v>FRUCTE</v>
      </c>
      <c r="K14">
        <f t="shared" si="1"/>
        <v>0</v>
      </c>
      <c r="L14">
        <f t="shared" si="2"/>
        <v>182.25</v>
      </c>
    </row>
    <row r="15" spans="1:12" hidden="1">
      <c r="A15">
        <v>7</v>
      </c>
      <c r="B15" t="s">
        <v>41</v>
      </c>
      <c r="C15" t="s">
        <v>20</v>
      </c>
      <c r="D15" t="s">
        <v>37</v>
      </c>
      <c r="E15">
        <v>34</v>
      </c>
      <c r="F15">
        <v>22.12</v>
      </c>
      <c r="G15">
        <v>1</v>
      </c>
      <c r="H15" s="7">
        <v>45301</v>
      </c>
      <c r="I15">
        <v>2</v>
      </c>
      <c r="J15" t="str">
        <f t="shared" si="0"/>
        <v>FRUCTE</v>
      </c>
      <c r="K15">
        <f t="shared" si="1"/>
        <v>37.604000000000006</v>
      </c>
      <c r="L15">
        <f t="shared" si="2"/>
        <v>34</v>
      </c>
    </row>
    <row r="16" spans="1:12" hidden="1">
      <c r="A16">
        <v>7</v>
      </c>
      <c r="B16" t="s">
        <v>41</v>
      </c>
      <c r="C16" t="s">
        <v>21</v>
      </c>
      <c r="D16" t="s">
        <v>38</v>
      </c>
      <c r="E16">
        <v>1211</v>
      </c>
      <c r="F16">
        <v>16.2</v>
      </c>
      <c r="G16">
        <v>1</v>
      </c>
      <c r="H16" s="7">
        <v>45301</v>
      </c>
      <c r="I16">
        <v>3</v>
      </c>
      <c r="J16" t="str">
        <f t="shared" si="0"/>
        <v>MIXURI LEGUME</v>
      </c>
      <c r="K16">
        <f t="shared" si="1"/>
        <v>980.91000000000008</v>
      </c>
      <c r="L16">
        <f t="shared" si="2"/>
        <v>1211</v>
      </c>
    </row>
    <row r="17" spans="1:12" hidden="1">
      <c r="A17">
        <v>7</v>
      </c>
      <c r="B17" t="s">
        <v>41</v>
      </c>
      <c r="C17" t="s">
        <v>22</v>
      </c>
      <c r="D17" t="s">
        <v>39</v>
      </c>
      <c r="E17">
        <v>2294</v>
      </c>
      <c r="F17">
        <v>8.1999999999999993</v>
      </c>
      <c r="G17">
        <v>0.45</v>
      </c>
      <c r="H17" s="7">
        <v>45301</v>
      </c>
      <c r="I17">
        <v>3</v>
      </c>
      <c r="J17" t="str">
        <f t="shared" si="0"/>
        <v>MIXURI LEGUME</v>
      </c>
      <c r="K17">
        <f t="shared" si="1"/>
        <v>940.54</v>
      </c>
      <c r="L17">
        <f t="shared" si="2"/>
        <v>1032.3</v>
      </c>
    </row>
    <row r="18" spans="1:12">
      <c r="A18" s="8">
        <v>8</v>
      </c>
      <c r="B18" s="8" t="s">
        <v>46</v>
      </c>
      <c r="C18" s="8" t="s">
        <v>10</v>
      </c>
      <c r="D18" s="9" t="s">
        <v>28</v>
      </c>
      <c r="E18" s="9">
        <v>444</v>
      </c>
      <c r="F18" s="9">
        <v>7.16</v>
      </c>
      <c r="G18" s="9">
        <v>0.45</v>
      </c>
      <c r="H18" s="10">
        <v>45302</v>
      </c>
      <c r="I18" s="9">
        <v>1</v>
      </c>
      <c r="J18" s="9" t="str">
        <f t="shared" si="0"/>
        <v>LEGUME</v>
      </c>
      <c r="K18" s="9">
        <f t="shared" si="1"/>
        <v>0</v>
      </c>
      <c r="L18" s="9">
        <f t="shared" si="2"/>
        <v>199.8</v>
      </c>
    </row>
    <row r="19" spans="1:12">
      <c r="A19" s="8">
        <v>8</v>
      </c>
      <c r="B19" s="8" t="s">
        <v>46</v>
      </c>
      <c r="C19" s="8" t="s">
        <v>12</v>
      </c>
      <c r="D19" s="9" t="s">
        <v>30</v>
      </c>
      <c r="E19" s="9">
        <v>123</v>
      </c>
      <c r="F19" s="9">
        <v>10.56</v>
      </c>
      <c r="G19" s="9">
        <v>0.45</v>
      </c>
      <c r="H19" s="10">
        <v>45302</v>
      </c>
      <c r="I19" s="9">
        <v>1</v>
      </c>
      <c r="J19" s="9" t="str">
        <f t="shared" si="0"/>
        <v>LEGUME</v>
      </c>
      <c r="K19" s="9">
        <f t="shared" si="1"/>
        <v>0</v>
      </c>
      <c r="L19" s="9">
        <f t="shared" si="2"/>
        <v>55.35</v>
      </c>
    </row>
    <row r="20" spans="1:12">
      <c r="A20" s="8">
        <v>8</v>
      </c>
      <c r="B20" s="8" t="s">
        <v>46</v>
      </c>
      <c r="C20" s="8" t="s">
        <v>11</v>
      </c>
      <c r="D20" s="9" t="s">
        <v>29</v>
      </c>
      <c r="E20" s="9">
        <v>200</v>
      </c>
      <c r="F20" s="9">
        <v>6.12</v>
      </c>
      <c r="G20" s="9">
        <v>0.45</v>
      </c>
      <c r="H20" s="10">
        <v>45302</v>
      </c>
      <c r="I20" s="9">
        <v>1</v>
      </c>
      <c r="J20" s="9" t="str">
        <f t="shared" si="0"/>
        <v>LEGUME</v>
      </c>
      <c r="K20" s="9">
        <f t="shared" si="1"/>
        <v>0</v>
      </c>
      <c r="L20" s="9">
        <f t="shared" si="2"/>
        <v>90</v>
      </c>
    </row>
    <row r="21" spans="1:12" hidden="1">
      <c r="A21">
        <v>9</v>
      </c>
      <c r="B21" t="s">
        <v>42</v>
      </c>
      <c r="C21" t="s">
        <v>16</v>
      </c>
      <c r="D21" t="s">
        <v>40</v>
      </c>
      <c r="E21">
        <v>129</v>
      </c>
      <c r="F21">
        <v>14.1</v>
      </c>
      <c r="G21">
        <v>1</v>
      </c>
      <c r="H21" s="7">
        <v>45302</v>
      </c>
      <c r="I21">
        <v>3</v>
      </c>
      <c r="J21" t="str">
        <f t="shared" si="0"/>
        <v>MIXURI LEGUME</v>
      </c>
      <c r="K21">
        <f t="shared" si="1"/>
        <v>0</v>
      </c>
      <c r="L21">
        <f t="shared" si="2"/>
        <v>129</v>
      </c>
    </row>
    <row r="22" spans="1:12">
      <c r="A22" s="8">
        <v>10</v>
      </c>
      <c r="B22" s="8" t="s">
        <v>45</v>
      </c>
      <c r="C22" s="8" t="s">
        <v>19</v>
      </c>
      <c r="D22" s="9" t="s">
        <v>36</v>
      </c>
      <c r="E22" s="9">
        <v>333</v>
      </c>
      <c r="F22" s="9">
        <v>10.56</v>
      </c>
      <c r="G22" s="9">
        <v>0.45</v>
      </c>
      <c r="H22" s="10">
        <v>45303</v>
      </c>
      <c r="I22" s="9">
        <v>1</v>
      </c>
      <c r="J22" s="9" t="str">
        <f t="shared" si="0"/>
        <v>LEGUME</v>
      </c>
      <c r="K22" s="9">
        <f t="shared" si="1"/>
        <v>105.4944</v>
      </c>
      <c r="L22" s="9">
        <f t="shared" si="2"/>
        <v>149.85</v>
      </c>
    </row>
    <row r="23" spans="1:12" hidden="1">
      <c r="A23">
        <v>10</v>
      </c>
      <c r="B23" t="s">
        <v>45</v>
      </c>
      <c r="C23" t="s">
        <v>10</v>
      </c>
      <c r="D23" t="s">
        <v>28</v>
      </c>
      <c r="E23">
        <v>1212</v>
      </c>
      <c r="F23">
        <v>12.6</v>
      </c>
      <c r="G23">
        <v>0.45</v>
      </c>
      <c r="H23" s="7">
        <v>45303</v>
      </c>
      <c r="I23">
        <v>2</v>
      </c>
      <c r="J23" t="str">
        <f t="shared" si="0"/>
        <v>FRUCTE</v>
      </c>
      <c r="K23">
        <f t="shared" si="1"/>
        <v>458.13599999999997</v>
      </c>
      <c r="L23">
        <f t="shared" si="2"/>
        <v>545.4</v>
      </c>
    </row>
    <row r="24" spans="1:12" hidden="1">
      <c r="A24">
        <v>10</v>
      </c>
      <c r="B24" t="s">
        <v>45</v>
      </c>
      <c r="C24" t="s">
        <v>18</v>
      </c>
      <c r="D24" t="s">
        <v>35</v>
      </c>
      <c r="E24">
        <v>345</v>
      </c>
      <c r="F24">
        <v>12.5</v>
      </c>
      <c r="G24">
        <v>0.45</v>
      </c>
      <c r="H24" s="7">
        <v>45303</v>
      </c>
      <c r="I24">
        <v>2</v>
      </c>
      <c r="J24" t="str">
        <f t="shared" si="0"/>
        <v>FRUCTE</v>
      </c>
      <c r="K24">
        <f t="shared" si="1"/>
        <v>129.375</v>
      </c>
      <c r="L24">
        <f t="shared" si="2"/>
        <v>155.25</v>
      </c>
    </row>
    <row r="25" spans="1:12">
      <c r="A25" s="8">
        <v>11</v>
      </c>
      <c r="B25" s="8" t="s">
        <v>43</v>
      </c>
      <c r="C25" s="8" t="s">
        <v>10</v>
      </c>
      <c r="D25" s="9" t="s">
        <v>28</v>
      </c>
      <c r="E25" s="9">
        <v>420</v>
      </c>
      <c r="F25" s="9">
        <v>7.16</v>
      </c>
      <c r="G25" s="9">
        <v>0.45</v>
      </c>
      <c r="H25" s="10">
        <v>45306</v>
      </c>
      <c r="I25" s="9">
        <v>1</v>
      </c>
      <c r="J25" s="9" t="str">
        <f t="shared" si="0"/>
        <v>LEGUME</v>
      </c>
      <c r="K25" s="9">
        <f t="shared" si="1"/>
        <v>0</v>
      </c>
      <c r="L25" s="9">
        <f t="shared" si="2"/>
        <v>189</v>
      </c>
    </row>
    <row r="26" spans="1:12">
      <c r="A26" s="8">
        <v>12</v>
      </c>
      <c r="B26" s="8" t="s">
        <v>42</v>
      </c>
      <c r="C26" s="8" t="s">
        <v>10</v>
      </c>
      <c r="D26" s="9" t="s">
        <v>28</v>
      </c>
      <c r="E26" s="9">
        <v>121</v>
      </c>
      <c r="F26" s="9">
        <v>7.16</v>
      </c>
      <c r="G26" s="9">
        <v>0.45</v>
      </c>
      <c r="H26" s="10">
        <v>45307</v>
      </c>
      <c r="I26" s="9">
        <v>1</v>
      </c>
      <c r="J26" s="9" t="str">
        <f t="shared" si="0"/>
        <v>LEGUME</v>
      </c>
      <c r="K26" s="9">
        <f t="shared" si="1"/>
        <v>0</v>
      </c>
      <c r="L26" s="9">
        <f t="shared" si="2"/>
        <v>54.45</v>
      </c>
    </row>
    <row r="27" spans="1:12" hidden="1">
      <c r="A27">
        <v>13</v>
      </c>
      <c r="B27" t="s">
        <v>46</v>
      </c>
      <c r="C27" t="s">
        <v>21</v>
      </c>
      <c r="D27" t="s">
        <v>38</v>
      </c>
      <c r="E27">
        <v>212</v>
      </c>
      <c r="F27">
        <v>16.2</v>
      </c>
      <c r="G27">
        <v>1</v>
      </c>
      <c r="H27" s="7">
        <v>45307</v>
      </c>
      <c r="I27">
        <v>3</v>
      </c>
      <c r="J27" t="str">
        <f t="shared" si="0"/>
        <v>MIXURI LEGUME</v>
      </c>
      <c r="K27">
        <f t="shared" si="1"/>
        <v>0</v>
      </c>
      <c r="L27">
        <f t="shared" si="2"/>
        <v>212</v>
      </c>
    </row>
    <row r="28" spans="1:12" hidden="1">
      <c r="A28">
        <v>14</v>
      </c>
      <c r="B28" t="s">
        <v>43</v>
      </c>
      <c r="C28" t="s">
        <v>21</v>
      </c>
      <c r="D28" t="s">
        <v>38</v>
      </c>
      <c r="E28">
        <v>111</v>
      </c>
      <c r="F28">
        <v>16.2</v>
      </c>
      <c r="G28">
        <v>1</v>
      </c>
      <c r="H28" s="7">
        <v>45308</v>
      </c>
      <c r="I28">
        <v>3</v>
      </c>
      <c r="J28" t="str">
        <f t="shared" si="0"/>
        <v>MIXURI LEGUME</v>
      </c>
      <c r="K28">
        <f t="shared" si="1"/>
        <v>0</v>
      </c>
      <c r="L28">
        <f t="shared" si="2"/>
        <v>111</v>
      </c>
    </row>
    <row r="29" spans="1:12" hidden="1">
      <c r="A29">
        <v>15</v>
      </c>
      <c r="B29" t="s">
        <v>41</v>
      </c>
      <c r="C29" t="s">
        <v>17</v>
      </c>
      <c r="D29" t="s">
        <v>34</v>
      </c>
      <c r="E29">
        <v>495</v>
      </c>
      <c r="F29">
        <v>12.6</v>
      </c>
      <c r="G29">
        <v>0.45</v>
      </c>
      <c r="H29" s="7">
        <v>45309</v>
      </c>
      <c r="I29">
        <v>2</v>
      </c>
      <c r="J29" t="str">
        <f t="shared" si="0"/>
        <v>FRUCTE</v>
      </c>
      <c r="K29">
        <f t="shared" si="1"/>
        <v>311.85000000000002</v>
      </c>
      <c r="L29">
        <f t="shared" si="2"/>
        <v>222.75</v>
      </c>
    </row>
    <row r="30" spans="1:12" hidden="1">
      <c r="A30">
        <v>15</v>
      </c>
      <c r="B30" t="s">
        <v>41</v>
      </c>
      <c r="C30" t="s">
        <v>21</v>
      </c>
      <c r="D30" t="s">
        <v>38</v>
      </c>
      <c r="E30">
        <v>2456</v>
      </c>
      <c r="F30">
        <v>16.2</v>
      </c>
      <c r="G30">
        <v>1</v>
      </c>
      <c r="H30" s="7">
        <v>45309</v>
      </c>
      <c r="I30">
        <v>3</v>
      </c>
      <c r="J30" t="str">
        <f t="shared" si="0"/>
        <v>MIXURI LEGUME</v>
      </c>
      <c r="K30">
        <f t="shared" si="1"/>
        <v>1989.36</v>
      </c>
      <c r="L30">
        <f t="shared" si="2"/>
        <v>2456</v>
      </c>
    </row>
    <row r="31" spans="1:12">
      <c r="A31" s="8">
        <v>15</v>
      </c>
      <c r="B31" s="8" t="s">
        <v>41</v>
      </c>
      <c r="C31" s="8" t="s">
        <v>13</v>
      </c>
      <c r="D31" s="9" t="s">
        <v>31</v>
      </c>
      <c r="E31" s="9">
        <v>2343</v>
      </c>
      <c r="F31" s="9">
        <v>8.4499999999999993</v>
      </c>
      <c r="G31" s="9">
        <v>0.45</v>
      </c>
      <c r="H31" s="10">
        <v>45309</v>
      </c>
      <c r="I31" s="9">
        <v>1</v>
      </c>
      <c r="J31" s="9" t="str">
        <f t="shared" si="0"/>
        <v>LEGUME</v>
      </c>
      <c r="K31" s="9">
        <f t="shared" si="1"/>
        <v>989.91750000000002</v>
      </c>
      <c r="L31" s="9">
        <f t="shared" si="2"/>
        <v>1054.3500000000001</v>
      </c>
    </row>
    <row r="32" spans="1:12">
      <c r="A32" s="8">
        <v>16</v>
      </c>
      <c r="B32" s="8" t="s">
        <v>42</v>
      </c>
      <c r="C32" s="8" t="s">
        <v>15</v>
      </c>
      <c r="D32" s="9" t="s">
        <v>33</v>
      </c>
      <c r="E32" s="9">
        <v>392</v>
      </c>
      <c r="F32" s="9">
        <v>14.34</v>
      </c>
      <c r="G32" s="9">
        <v>1</v>
      </c>
      <c r="H32" s="10">
        <v>45310</v>
      </c>
      <c r="I32" s="9">
        <v>1</v>
      </c>
      <c r="J32" s="9" t="str">
        <f t="shared" si="0"/>
        <v>LEGUME</v>
      </c>
      <c r="K32" s="9">
        <f t="shared" si="1"/>
        <v>281.06400000000002</v>
      </c>
      <c r="L32" s="9">
        <f t="shared" si="2"/>
        <v>392</v>
      </c>
    </row>
    <row r="33" spans="1:12" hidden="1">
      <c r="A33">
        <v>16</v>
      </c>
      <c r="B33" t="s">
        <v>42</v>
      </c>
      <c r="C33" t="s">
        <v>17</v>
      </c>
      <c r="D33" t="s">
        <v>34</v>
      </c>
      <c r="E33">
        <v>273</v>
      </c>
      <c r="F33">
        <v>12.6</v>
      </c>
      <c r="G33">
        <v>0.45</v>
      </c>
      <c r="H33" s="7">
        <v>45310</v>
      </c>
      <c r="I33">
        <v>2</v>
      </c>
      <c r="J33" t="str">
        <f t="shared" si="0"/>
        <v>FRUCTE</v>
      </c>
      <c r="K33">
        <f t="shared" si="1"/>
        <v>171.99</v>
      </c>
      <c r="L33">
        <f t="shared" si="2"/>
        <v>122.85000000000001</v>
      </c>
    </row>
    <row r="34" spans="1:12" hidden="1">
      <c r="A34">
        <v>16</v>
      </c>
      <c r="B34" t="s">
        <v>42</v>
      </c>
      <c r="C34" t="s">
        <v>18</v>
      </c>
      <c r="D34" t="s">
        <v>35</v>
      </c>
      <c r="E34">
        <v>394</v>
      </c>
      <c r="F34">
        <v>14.7</v>
      </c>
      <c r="G34">
        <v>0.45</v>
      </c>
      <c r="H34" s="7">
        <v>45310</v>
      </c>
      <c r="I34">
        <v>2</v>
      </c>
      <c r="J34" t="str">
        <f t="shared" ref="J34:J65" si="3">VLOOKUP(I34, categorii, 2, FALSE)</f>
        <v>FRUCTE</v>
      </c>
      <c r="K34">
        <f t="shared" si="1"/>
        <v>289.58999999999997</v>
      </c>
      <c r="L34">
        <f t="shared" si="2"/>
        <v>177.3</v>
      </c>
    </row>
    <row r="35" spans="1:12" hidden="1">
      <c r="A35">
        <v>16</v>
      </c>
      <c r="B35" t="s">
        <v>42</v>
      </c>
      <c r="C35" t="s">
        <v>19</v>
      </c>
      <c r="D35" t="s">
        <v>36</v>
      </c>
      <c r="E35">
        <v>761</v>
      </c>
      <c r="F35">
        <v>12.5</v>
      </c>
      <c r="G35">
        <v>0.45</v>
      </c>
      <c r="H35" s="7">
        <v>45310</v>
      </c>
      <c r="I35">
        <v>2</v>
      </c>
      <c r="J35" t="str">
        <f t="shared" si="3"/>
        <v>FRUCTE</v>
      </c>
      <c r="K35">
        <f t="shared" si="1"/>
        <v>475.625</v>
      </c>
      <c r="L35">
        <f t="shared" si="2"/>
        <v>342.45</v>
      </c>
    </row>
    <row r="36" spans="1:12" hidden="1">
      <c r="A36">
        <v>17</v>
      </c>
      <c r="B36" t="s">
        <v>43</v>
      </c>
      <c r="C36" t="s">
        <v>20</v>
      </c>
      <c r="D36" t="s">
        <v>37</v>
      </c>
      <c r="E36">
        <v>935</v>
      </c>
      <c r="F36">
        <v>22.12</v>
      </c>
      <c r="G36">
        <v>1</v>
      </c>
      <c r="H36" s="7">
        <v>45313</v>
      </c>
      <c r="I36">
        <v>2</v>
      </c>
      <c r="J36" t="str">
        <f t="shared" si="3"/>
        <v>FRUCTE</v>
      </c>
      <c r="K36">
        <f t="shared" si="1"/>
        <v>1034.1100000000001</v>
      </c>
      <c r="L36">
        <f t="shared" si="2"/>
        <v>935</v>
      </c>
    </row>
    <row r="37" spans="1:12" hidden="1">
      <c r="A37">
        <v>17</v>
      </c>
      <c r="B37" t="s">
        <v>43</v>
      </c>
      <c r="C37" t="s">
        <v>21</v>
      </c>
      <c r="D37" t="s">
        <v>38</v>
      </c>
      <c r="E37">
        <v>688</v>
      </c>
      <c r="F37">
        <v>16.2</v>
      </c>
      <c r="G37">
        <v>1</v>
      </c>
      <c r="H37" s="7">
        <v>45313</v>
      </c>
      <c r="I37">
        <v>3</v>
      </c>
      <c r="J37" t="str">
        <f t="shared" si="3"/>
        <v>MIXURI LEGUME</v>
      </c>
      <c r="K37">
        <f t="shared" si="1"/>
        <v>557.28000000000009</v>
      </c>
      <c r="L37">
        <f t="shared" si="2"/>
        <v>688</v>
      </c>
    </row>
    <row r="38" spans="1:12" hidden="1">
      <c r="A38">
        <v>18</v>
      </c>
      <c r="B38" t="s">
        <v>45</v>
      </c>
      <c r="C38" t="s">
        <v>22</v>
      </c>
      <c r="D38" t="s">
        <v>39</v>
      </c>
      <c r="E38">
        <v>522</v>
      </c>
      <c r="F38">
        <v>8.1999999999999993</v>
      </c>
      <c r="G38">
        <v>0.45</v>
      </c>
      <c r="H38" s="7">
        <v>45313</v>
      </c>
      <c r="I38">
        <v>3</v>
      </c>
      <c r="J38" t="str">
        <f t="shared" si="3"/>
        <v>MIXURI LEGUME</v>
      </c>
      <c r="K38">
        <f t="shared" si="1"/>
        <v>128.41199999999998</v>
      </c>
      <c r="L38">
        <f t="shared" si="2"/>
        <v>234.9</v>
      </c>
    </row>
    <row r="39" spans="1:12">
      <c r="A39" s="8">
        <v>18</v>
      </c>
      <c r="B39" s="8" t="s">
        <v>45</v>
      </c>
      <c r="C39" s="8" t="s">
        <v>10</v>
      </c>
      <c r="D39" s="9" t="s">
        <v>28</v>
      </c>
      <c r="E39" s="9">
        <v>373</v>
      </c>
      <c r="F39" s="9">
        <v>7.16</v>
      </c>
      <c r="G39" s="9">
        <v>0.45</v>
      </c>
      <c r="H39" s="10">
        <v>45313</v>
      </c>
      <c r="I39" s="9">
        <v>1</v>
      </c>
      <c r="J39" s="9" t="str">
        <f t="shared" si="3"/>
        <v>LEGUME</v>
      </c>
      <c r="K39" s="9">
        <f t="shared" si="1"/>
        <v>80.120399999999989</v>
      </c>
      <c r="L39" s="9">
        <f t="shared" si="2"/>
        <v>167.85</v>
      </c>
    </row>
    <row r="40" spans="1:12">
      <c r="A40" s="8">
        <v>18</v>
      </c>
      <c r="B40" s="8" t="s">
        <v>45</v>
      </c>
      <c r="C40" s="8" t="s">
        <v>12</v>
      </c>
      <c r="D40" s="9" t="s">
        <v>30</v>
      </c>
      <c r="E40" s="9">
        <v>567</v>
      </c>
      <c r="F40" s="9">
        <v>10.56</v>
      </c>
      <c r="G40" s="9">
        <v>0.45</v>
      </c>
      <c r="H40" s="10">
        <v>45313</v>
      </c>
      <c r="I40" s="9">
        <v>1</v>
      </c>
      <c r="J40" s="9" t="str">
        <f t="shared" si="3"/>
        <v>LEGUME</v>
      </c>
      <c r="K40" s="9">
        <f t="shared" si="1"/>
        <v>179.62560000000002</v>
      </c>
      <c r="L40" s="9">
        <f t="shared" si="2"/>
        <v>255.15</v>
      </c>
    </row>
    <row r="41" spans="1:12">
      <c r="A41" s="8">
        <v>19</v>
      </c>
      <c r="B41" s="8" t="s">
        <v>46</v>
      </c>
      <c r="C41" s="8" t="s">
        <v>11</v>
      </c>
      <c r="D41" s="9" t="s">
        <v>29</v>
      </c>
      <c r="E41" s="9">
        <v>191</v>
      </c>
      <c r="F41" s="9">
        <v>6.12</v>
      </c>
      <c r="G41" s="9">
        <v>0.45</v>
      </c>
      <c r="H41" s="10">
        <v>45314</v>
      </c>
      <c r="I41" s="9">
        <v>1</v>
      </c>
      <c r="J41" s="9" t="str">
        <f t="shared" si="3"/>
        <v>LEGUME</v>
      </c>
      <c r="K41" s="9">
        <f t="shared" si="1"/>
        <v>0</v>
      </c>
      <c r="L41" s="9">
        <f t="shared" si="2"/>
        <v>85.95</v>
      </c>
    </row>
    <row r="42" spans="1:12" hidden="1">
      <c r="A42">
        <v>19</v>
      </c>
      <c r="B42" t="s">
        <v>46</v>
      </c>
      <c r="C42" t="s">
        <v>16</v>
      </c>
      <c r="D42" t="s">
        <v>40</v>
      </c>
      <c r="E42">
        <v>188</v>
      </c>
      <c r="F42">
        <v>14.1</v>
      </c>
      <c r="G42">
        <v>1</v>
      </c>
      <c r="H42" s="7">
        <v>45314</v>
      </c>
      <c r="I42">
        <v>3</v>
      </c>
      <c r="J42" t="str">
        <f t="shared" si="3"/>
        <v>MIXURI LEGUME</v>
      </c>
      <c r="K42">
        <f t="shared" si="1"/>
        <v>0</v>
      </c>
      <c r="L42">
        <f t="shared" si="2"/>
        <v>188</v>
      </c>
    </row>
    <row r="43" spans="1:12">
      <c r="A43" s="8">
        <v>20</v>
      </c>
      <c r="B43" s="8" t="s">
        <v>41</v>
      </c>
      <c r="C43" s="8" t="s">
        <v>12</v>
      </c>
      <c r="D43" s="9" t="s">
        <v>30</v>
      </c>
      <c r="E43" s="9">
        <v>861</v>
      </c>
      <c r="F43" s="9">
        <v>10.56</v>
      </c>
      <c r="G43" s="9">
        <v>0.45</v>
      </c>
      <c r="H43" s="10">
        <v>45316</v>
      </c>
      <c r="I43" s="9">
        <v>1</v>
      </c>
      <c r="J43" s="9" t="str">
        <f t="shared" si="3"/>
        <v>LEGUME</v>
      </c>
      <c r="K43" s="9">
        <f t="shared" si="1"/>
        <v>454.608</v>
      </c>
      <c r="L43" s="9">
        <f t="shared" si="2"/>
        <v>387.45</v>
      </c>
    </row>
    <row r="44" spans="1:12">
      <c r="A44" s="8">
        <v>20</v>
      </c>
      <c r="B44" s="8" t="s">
        <v>41</v>
      </c>
      <c r="C44" s="8" t="s">
        <v>11</v>
      </c>
      <c r="D44" s="9" t="s">
        <v>29</v>
      </c>
      <c r="E44" s="9">
        <v>639</v>
      </c>
      <c r="F44" s="9">
        <v>6.12</v>
      </c>
      <c r="G44" s="9">
        <v>0.45</v>
      </c>
      <c r="H44" s="10">
        <v>45316</v>
      </c>
      <c r="I44" s="9">
        <v>1</v>
      </c>
      <c r="J44" s="9" t="str">
        <f t="shared" si="3"/>
        <v>LEGUME</v>
      </c>
      <c r="K44" s="9">
        <f t="shared" si="1"/>
        <v>195.53400000000002</v>
      </c>
      <c r="L44" s="9">
        <f t="shared" si="2"/>
        <v>287.55</v>
      </c>
    </row>
    <row r="45" spans="1:12" hidden="1">
      <c r="A45">
        <v>20</v>
      </c>
      <c r="B45" t="s">
        <v>41</v>
      </c>
      <c r="C45" t="s">
        <v>16</v>
      </c>
      <c r="D45" t="s">
        <v>40</v>
      </c>
      <c r="E45">
        <v>363</v>
      </c>
      <c r="F45">
        <v>14.1</v>
      </c>
      <c r="G45">
        <v>1</v>
      </c>
      <c r="H45" s="7">
        <v>45316</v>
      </c>
      <c r="I45">
        <v>3</v>
      </c>
      <c r="J45" t="str">
        <f t="shared" si="3"/>
        <v>MIXURI LEGUME</v>
      </c>
      <c r="K45">
        <f t="shared" si="1"/>
        <v>255.91500000000002</v>
      </c>
      <c r="L45">
        <f t="shared" si="2"/>
        <v>363</v>
      </c>
    </row>
    <row r="46" spans="1:12">
      <c r="A46" s="8">
        <v>21</v>
      </c>
      <c r="B46" s="8" t="s">
        <v>43</v>
      </c>
      <c r="C46" s="8" t="s">
        <v>10</v>
      </c>
      <c r="D46" s="9" t="s">
        <v>28</v>
      </c>
      <c r="E46" s="9">
        <v>291</v>
      </c>
      <c r="F46" s="9">
        <v>7.16</v>
      </c>
      <c r="G46" s="9">
        <v>0.45</v>
      </c>
      <c r="H46" s="10">
        <v>45316</v>
      </c>
      <c r="I46" s="9">
        <v>1</v>
      </c>
      <c r="J46" s="9" t="str">
        <f t="shared" si="3"/>
        <v>LEGUME</v>
      </c>
      <c r="K46" s="9">
        <f t="shared" si="1"/>
        <v>0</v>
      </c>
      <c r="L46" s="9">
        <f t="shared" si="2"/>
        <v>130.95000000000002</v>
      </c>
    </row>
    <row r="47" spans="1:12" hidden="1">
      <c r="A47">
        <v>22</v>
      </c>
      <c r="B47" t="s">
        <v>42</v>
      </c>
      <c r="C47" t="s">
        <v>21</v>
      </c>
      <c r="D47" t="s">
        <v>38</v>
      </c>
      <c r="E47">
        <v>482</v>
      </c>
      <c r="F47">
        <v>16.2</v>
      </c>
      <c r="G47">
        <v>1</v>
      </c>
      <c r="H47" s="7">
        <v>45317</v>
      </c>
      <c r="I47">
        <v>3</v>
      </c>
      <c r="J47" t="str">
        <f t="shared" si="3"/>
        <v>MIXURI LEGUME</v>
      </c>
      <c r="K47">
        <f t="shared" si="1"/>
        <v>234.25199999999998</v>
      </c>
      <c r="L47">
        <f t="shared" si="2"/>
        <v>482</v>
      </c>
    </row>
    <row r="48" spans="1:12" hidden="1">
      <c r="A48">
        <v>22</v>
      </c>
      <c r="B48" t="s">
        <v>42</v>
      </c>
      <c r="C48" t="s">
        <v>20</v>
      </c>
      <c r="D48" t="s">
        <v>37</v>
      </c>
      <c r="E48">
        <v>210</v>
      </c>
      <c r="F48">
        <v>22.12</v>
      </c>
      <c r="G48">
        <v>1</v>
      </c>
      <c r="H48" s="7">
        <v>45317</v>
      </c>
      <c r="I48">
        <v>2</v>
      </c>
      <c r="J48" t="str">
        <f t="shared" si="3"/>
        <v>FRUCTE</v>
      </c>
      <c r="K48">
        <f t="shared" si="1"/>
        <v>139.35599999999999</v>
      </c>
      <c r="L48">
        <f t="shared" si="2"/>
        <v>210</v>
      </c>
    </row>
    <row r="49" spans="1:12" hidden="1">
      <c r="A49">
        <v>23</v>
      </c>
      <c r="B49" t="s">
        <v>44</v>
      </c>
      <c r="C49" t="s">
        <v>21</v>
      </c>
      <c r="D49" t="s">
        <v>38</v>
      </c>
      <c r="E49">
        <v>486</v>
      </c>
      <c r="F49">
        <v>16.2</v>
      </c>
      <c r="G49">
        <v>1</v>
      </c>
      <c r="H49" s="7">
        <v>45317</v>
      </c>
      <c r="I49">
        <v>3</v>
      </c>
      <c r="J49" t="str">
        <f t="shared" si="3"/>
        <v>MIXURI LEGUME</v>
      </c>
      <c r="K49">
        <f t="shared" si="1"/>
        <v>236.196</v>
      </c>
      <c r="L49">
        <f t="shared" si="2"/>
        <v>486</v>
      </c>
    </row>
    <row r="50" spans="1:12">
      <c r="A50" s="8">
        <v>23</v>
      </c>
      <c r="B50" s="8" t="s">
        <v>44</v>
      </c>
      <c r="C50" s="8" t="s">
        <v>12</v>
      </c>
      <c r="D50" s="9" t="s">
        <v>30</v>
      </c>
      <c r="E50" s="9">
        <v>981</v>
      </c>
      <c r="F50" s="9">
        <v>10.56</v>
      </c>
      <c r="G50" s="9">
        <v>0.45</v>
      </c>
      <c r="H50" s="10">
        <v>45317</v>
      </c>
      <c r="I50" s="9">
        <v>1</v>
      </c>
      <c r="J50" s="9" t="str">
        <f t="shared" si="3"/>
        <v>LEGUME</v>
      </c>
      <c r="K50" s="9">
        <f t="shared" si="1"/>
        <v>310.7808</v>
      </c>
      <c r="L50" s="9">
        <f t="shared" si="2"/>
        <v>441.45</v>
      </c>
    </row>
    <row r="51" spans="1:12">
      <c r="A51" s="8">
        <v>24</v>
      </c>
      <c r="B51" s="8" t="s">
        <v>45</v>
      </c>
      <c r="C51" s="8" t="s">
        <v>11</v>
      </c>
      <c r="D51" s="9" t="s">
        <v>29</v>
      </c>
      <c r="E51" s="9">
        <v>396</v>
      </c>
      <c r="F51" s="9">
        <v>6.12</v>
      </c>
      <c r="G51" s="9">
        <v>0.45</v>
      </c>
      <c r="H51" s="10">
        <v>45320</v>
      </c>
      <c r="I51" s="9">
        <v>1</v>
      </c>
      <c r="J51" s="9" t="str">
        <f t="shared" si="3"/>
        <v>LEGUME</v>
      </c>
      <c r="K51" s="9">
        <f t="shared" si="1"/>
        <v>0</v>
      </c>
      <c r="L51" s="9">
        <f t="shared" si="2"/>
        <v>178.20000000000002</v>
      </c>
    </row>
    <row r="52" spans="1:12" hidden="1">
      <c r="A52">
        <v>24</v>
      </c>
      <c r="B52" t="s">
        <v>45</v>
      </c>
      <c r="C52" t="s">
        <v>16</v>
      </c>
      <c r="D52" t="s">
        <v>40</v>
      </c>
      <c r="E52">
        <v>76</v>
      </c>
      <c r="F52">
        <v>14.1</v>
      </c>
      <c r="G52">
        <v>1</v>
      </c>
      <c r="H52" s="7">
        <v>45320</v>
      </c>
      <c r="I52">
        <v>3</v>
      </c>
      <c r="J52" t="str">
        <f t="shared" si="3"/>
        <v>MIXURI LEGUME</v>
      </c>
      <c r="K52">
        <f t="shared" si="1"/>
        <v>0</v>
      </c>
      <c r="L52">
        <f t="shared" si="2"/>
        <v>76</v>
      </c>
    </row>
    <row r="53" spans="1:12">
      <c r="A53" s="8">
        <v>25</v>
      </c>
      <c r="B53" s="8" t="s">
        <v>43</v>
      </c>
      <c r="C53" s="8" t="s">
        <v>15</v>
      </c>
      <c r="D53" s="9" t="s">
        <v>33</v>
      </c>
      <c r="E53" s="9">
        <v>991</v>
      </c>
      <c r="F53" s="9">
        <v>14.34</v>
      </c>
      <c r="G53" s="9">
        <v>1</v>
      </c>
      <c r="H53" s="10">
        <v>45320</v>
      </c>
      <c r="I53" s="9">
        <v>1</v>
      </c>
      <c r="J53" s="9" t="str">
        <f t="shared" si="3"/>
        <v>LEGUME</v>
      </c>
      <c r="K53" s="9">
        <f t="shared" si="1"/>
        <v>710.54700000000003</v>
      </c>
      <c r="L53" s="9">
        <f t="shared" si="2"/>
        <v>991</v>
      </c>
    </row>
    <row r="54" spans="1:12" hidden="1">
      <c r="A54">
        <v>25</v>
      </c>
      <c r="B54" t="s">
        <v>43</v>
      </c>
      <c r="C54" t="s">
        <v>17</v>
      </c>
      <c r="D54" t="s">
        <v>34</v>
      </c>
      <c r="E54">
        <v>424</v>
      </c>
      <c r="F54">
        <v>12.6</v>
      </c>
      <c r="G54">
        <v>0.45</v>
      </c>
      <c r="H54" s="7">
        <v>45320</v>
      </c>
      <c r="I54">
        <v>2</v>
      </c>
      <c r="J54" t="str">
        <f t="shared" si="3"/>
        <v>FRUCTE</v>
      </c>
      <c r="K54">
        <f t="shared" si="1"/>
        <v>267.12</v>
      </c>
      <c r="L54">
        <f t="shared" si="2"/>
        <v>190.8</v>
      </c>
    </row>
    <row r="55" spans="1:12" hidden="1">
      <c r="A55">
        <v>25</v>
      </c>
      <c r="B55" t="s">
        <v>43</v>
      </c>
      <c r="C55" t="s">
        <v>18</v>
      </c>
      <c r="D55" t="s">
        <v>35</v>
      </c>
      <c r="E55">
        <v>110</v>
      </c>
      <c r="F55">
        <v>14.7</v>
      </c>
      <c r="G55">
        <v>0.45</v>
      </c>
      <c r="H55" s="7">
        <v>45320</v>
      </c>
      <c r="I55">
        <v>2</v>
      </c>
      <c r="J55" t="str">
        <f t="shared" si="3"/>
        <v>FRUCTE</v>
      </c>
      <c r="K55">
        <f t="shared" si="1"/>
        <v>80.850000000000009</v>
      </c>
      <c r="L55">
        <f t="shared" si="2"/>
        <v>49.5</v>
      </c>
    </row>
    <row r="56" spans="1:12">
      <c r="A56" s="8">
        <v>26</v>
      </c>
      <c r="B56" s="8" t="s">
        <v>42</v>
      </c>
      <c r="C56" s="8" t="s">
        <v>12</v>
      </c>
      <c r="D56" s="9" t="s">
        <v>30</v>
      </c>
      <c r="E56" s="9">
        <v>355</v>
      </c>
      <c r="F56" s="9">
        <v>10.56</v>
      </c>
      <c r="G56" s="9">
        <v>0.45</v>
      </c>
      <c r="H56" s="10">
        <v>45321</v>
      </c>
      <c r="I56" s="9">
        <v>1</v>
      </c>
      <c r="J56" s="9" t="str">
        <f t="shared" si="3"/>
        <v>LEGUME</v>
      </c>
      <c r="K56" s="9">
        <f t="shared" si="1"/>
        <v>0</v>
      </c>
      <c r="L56" s="9">
        <f t="shared" si="2"/>
        <v>159.75</v>
      </c>
    </row>
    <row r="57" spans="1:12">
      <c r="A57" s="8">
        <v>28</v>
      </c>
      <c r="B57" s="8" t="s">
        <v>45</v>
      </c>
      <c r="C57" s="8" t="s">
        <v>11</v>
      </c>
      <c r="D57" s="9" t="s">
        <v>29</v>
      </c>
      <c r="E57" s="9">
        <v>807</v>
      </c>
      <c r="F57" s="9">
        <v>6.12</v>
      </c>
      <c r="G57" s="9">
        <v>0.45</v>
      </c>
      <c r="H57" s="10">
        <v>45321</v>
      </c>
      <c r="I57" s="9">
        <v>1</v>
      </c>
      <c r="J57" s="9" t="str">
        <f t="shared" si="3"/>
        <v>LEGUME</v>
      </c>
      <c r="K57" s="9">
        <f t="shared" si="1"/>
        <v>148.1652</v>
      </c>
      <c r="L57" s="9">
        <f t="shared" si="2"/>
        <v>363.15000000000003</v>
      </c>
    </row>
    <row r="58" spans="1:12" hidden="1">
      <c r="A58">
        <v>28</v>
      </c>
      <c r="B58" t="s">
        <v>45</v>
      </c>
      <c r="C58" t="s">
        <v>16</v>
      </c>
      <c r="D58" t="s">
        <v>40</v>
      </c>
      <c r="E58">
        <v>235</v>
      </c>
      <c r="F58">
        <v>14.1</v>
      </c>
      <c r="G58">
        <v>1</v>
      </c>
      <c r="H58" s="7">
        <v>45321</v>
      </c>
      <c r="I58">
        <v>3</v>
      </c>
      <c r="J58" t="str">
        <f t="shared" si="3"/>
        <v>MIXURI LEGUME</v>
      </c>
      <c r="K58">
        <f t="shared" si="1"/>
        <v>99.405000000000001</v>
      </c>
      <c r="L58">
        <f t="shared" si="2"/>
        <v>235</v>
      </c>
    </row>
    <row r="59" spans="1:12">
      <c r="A59" s="8">
        <v>29</v>
      </c>
      <c r="B59" s="8" t="s">
        <v>43</v>
      </c>
      <c r="C59" s="8" t="s">
        <v>12</v>
      </c>
      <c r="D59" s="9" t="s">
        <v>30</v>
      </c>
      <c r="E59" s="9">
        <v>32</v>
      </c>
      <c r="F59" s="9">
        <v>10.56</v>
      </c>
      <c r="G59" s="9">
        <v>0.45</v>
      </c>
      <c r="H59" s="10">
        <v>45322</v>
      </c>
      <c r="I59" s="9">
        <v>1</v>
      </c>
      <c r="J59" s="9" t="str">
        <f t="shared" si="3"/>
        <v>LEGUME</v>
      </c>
      <c r="K59" s="9">
        <f t="shared" si="1"/>
        <v>0</v>
      </c>
      <c r="L59" s="9">
        <f t="shared" si="2"/>
        <v>14.4</v>
      </c>
    </row>
    <row r="60" spans="1:12" hidden="1">
      <c r="A60">
        <v>30</v>
      </c>
      <c r="B60" t="s">
        <v>42</v>
      </c>
      <c r="C60" t="s">
        <v>17</v>
      </c>
      <c r="D60" t="s">
        <v>34</v>
      </c>
      <c r="E60">
        <v>441</v>
      </c>
      <c r="F60">
        <v>12.6</v>
      </c>
      <c r="G60">
        <v>0.45</v>
      </c>
      <c r="H60" s="7">
        <v>45322</v>
      </c>
      <c r="I60">
        <v>2</v>
      </c>
      <c r="J60" t="str">
        <f t="shared" si="3"/>
        <v>FRUCTE</v>
      </c>
      <c r="K60">
        <f t="shared" si="1"/>
        <v>0</v>
      </c>
      <c r="L60">
        <f t="shared" si="2"/>
        <v>198.45000000000002</v>
      </c>
    </row>
    <row r="61" spans="1:12" hidden="1">
      <c r="A61">
        <v>31</v>
      </c>
      <c r="B61" t="s">
        <v>44</v>
      </c>
      <c r="C61" t="s">
        <v>18</v>
      </c>
      <c r="D61" t="s">
        <v>35</v>
      </c>
      <c r="E61">
        <v>212</v>
      </c>
      <c r="F61">
        <v>15.141</v>
      </c>
      <c r="G61">
        <v>0.45</v>
      </c>
      <c r="H61" s="7">
        <v>45323</v>
      </c>
      <c r="I61">
        <v>2</v>
      </c>
      <c r="J61" t="str">
        <f t="shared" si="3"/>
        <v>FRUCTE</v>
      </c>
      <c r="K61">
        <f t="shared" si="1"/>
        <v>0</v>
      </c>
      <c r="L61">
        <f t="shared" si="2"/>
        <v>95.4</v>
      </c>
    </row>
    <row r="62" spans="1:12" hidden="1">
      <c r="A62">
        <v>32</v>
      </c>
      <c r="B62" t="s">
        <v>45</v>
      </c>
      <c r="C62" t="s">
        <v>19</v>
      </c>
      <c r="D62" t="s">
        <v>36</v>
      </c>
      <c r="E62">
        <v>566</v>
      </c>
      <c r="F62">
        <v>12.875</v>
      </c>
      <c r="G62">
        <v>0.45</v>
      </c>
      <c r="H62" s="7">
        <v>45323</v>
      </c>
      <c r="I62">
        <v>2</v>
      </c>
      <c r="J62" t="str">
        <f t="shared" si="3"/>
        <v>FRUCTE</v>
      </c>
      <c r="K62">
        <f t="shared" si="1"/>
        <v>0</v>
      </c>
      <c r="L62">
        <f t="shared" si="2"/>
        <v>254.70000000000002</v>
      </c>
    </row>
    <row r="63" spans="1:12" hidden="1">
      <c r="A63">
        <v>33</v>
      </c>
      <c r="B63" t="s">
        <v>43</v>
      </c>
      <c r="C63" t="s">
        <v>20</v>
      </c>
      <c r="D63" t="s">
        <v>37</v>
      </c>
      <c r="E63">
        <v>810</v>
      </c>
      <c r="F63">
        <v>22.7836</v>
      </c>
      <c r="G63">
        <v>1</v>
      </c>
      <c r="H63" s="7">
        <v>45323</v>
      </c>
      <c r="I63">
        <v>2</v>
      </c>
      <c r="J63" t="str">
        <f t="shared" si="3"/>
        <v>FRUCTE</v>
      </c>
      <c r="K63">
        <f t="shared" si="1"/>
        <v>922.73580000000004</v>
      </c>
      <c r="L63">
        <f t="shared" si="2"/>
        <v>810</v>
      </c>
    </row>
    <row r="64" spans="1:12" hidden="1">
      <c r="A64">
        <v>33</v>
      </c>
      <c r="B64" t="s">
        <v>43</v>
      </c>
      <c r="C64" t="s">
        <v>21</v>
      </c>
      <c r="D64" t="s">
        <v>38</v>
      </c>
      <c r="E64">
        <v>457</v>
      </c>
      <c r="F64">
        <v>16.847999999999999</v>
      </c>
      <c r="G64">
        <v>1</v>
      </c>
      <c r="H64" s="7">
        <v>45323</v>
      </c>
      <c r="I64">
        <v>3</v>
      </c>
      <c r="J64" t="str">
        <f t="shared" si="3"/>
        <v>MIXURI LEGUME</v>
      </c>
      <c r="K64">
        <f t="shared" si="1"/>
        <v>384.97679999999997</v>
      </c>
      <c r="L64">
        <f t="shared" si="2"/>
        <v>457</v>
      </c>
    </row>
    <row r="65" spans="1:12">
      <c r="A65" s="8">
        <v>33</v>
      </c>
      <c r="B65" s="8" t="s">
        <v>43</v>
      </c>
      <c r="C65" s="8" t="s">
        <v>12</v>
      </c>
      <c r="D65" s="9" t="s">
        <v>30</v>
      </c>
      <c r="E65" s="9">
        <v>804</v>
      </c>
      <c r="F65" s="9">
        <v>11.088000000000001</v>
      </c>
      <c r="G65" s="9">
        <v>0.45</v>
      </c>
      <c r="H65" s="10">
        <v>45323</v>
      </c>
      <c r="I65" s="9">
        <v>1</v>
      </c>
      <c r="J65" s="9" t="str">
        <f t="shared" si="3"/>
        <v>LEGUME</v>
      </c>
      <c r="K65" s="9">
        <f t="shared" si="1"/>
        <v>445.73760000000004</v>
      </c>
      <c r="L65" s="9">
        <f t="shared" si="2"/>
        <v>361.8</v>
      </c>
    </row>
    <row r="66" spans="1:12">
      <c r="A66" s="8">
        <v>34</v>
      </c>
      <c r="B66" s="8" t="s">
        <v>42</v>
      </c>
      <c r="C66" s="8" t="s">
        <v>11</v>
      </c>
      <c r="D66" s="9" t="s">
        <v>29</v>
      </c>
      <c r="E66" s="9">
        <v>484</v>
      </c>
      <c r="F66" s="9">
        <v>6.4260000000000002</v>
      </c>
      <c r="G66" s="9">
        <v>0.45</v>
      </c>
      <c r="H66" s="10">
        <v>45324</v>
      </c>
      <c r="I66" s="9">
        <v>1</v>
      </c>
      <c r="J66" s="9" t="str">
        <f t="shared" ref="J66:J97" si="4">VLOOKUP(I66, categorii, 2, FALSE)</f>
        <v>LEGUME</v>
      </c>
      <c r="K66" s="9">
        <f t="shared" si="1"/>
        <v>93.305520000000001</v>
      </c>
      <c r="L66" s="9">
        <f t="shared" si="2"/>
        <v>217.8</v>
      </c>
    </row>
    <row r="67" spans="1:12">
      <c r="A67" s="8">
        <v>34</v>
      </c>
      <c r="B67" s="8" t="s">
        <v>42</v>
      </c>
      <c r="C67" s="8" t="s">
        <v>12</v>
      </c>
      <c r="D67" s="9" t="s">
        <v>30</v>
      </c>
      <c r="E67" s="9">
        <v>736</v>
      </c>
      <c r="F67" s="9">
        <v>11.088000000000001</v>
      </c>
      <c r="G67" s="9">
        <v>0.45</v>
      </c>
      <c r="H67" s="10">
        <v>45324</v>
      </c>
      <c r="I67" s="9">
        <v>1</v>
      </c>
      <c r="J67" s="9" t="str">
        <f t="shared" si="4"/>
        <v>LEGUME</v>
      </c>
      <c r="K67" s="9">
        <f t="shared" ref="K67:K126" si="5">IF(SUMIF(A$2:A$126,A67,L$2:L$126)&gt;1000,(E67*F67)*0.05, IF(SUMIF(A$2:A$126,A67,L$2:L$126)&gt;500,(E67*F67)*0.03,0))</f>
        <v>244.82304000000002</v>
      </c>
      <c r="L67" s="9">
        <f t="shared" ref="L67:L126" si="6">G67*E67</f>
        <v>331.2</v>
      </c>
    </row>
    <row r="68" spans="1:12" hidden="1">
      <c r="A68">
        <v>35</v>
      </c>
      <c r="B68" t="s">
        <v>44</v>
      </c>
      <c r="C68" t="s">
        <v>17</v>
      </c>
      <c r="D68" t="s">
        <v>34</v>
      </c>
      <c r="E68">
        <v>592</v>
      </c>
      <c r="F68">
        <v>12.978</v>
      </c>
      <c r="G68">
        <v>0.45</v>
      </c>
      <c r="H68" s="7">
        <v>45327</v>
      </c>
      <c r="I68">
        <v>2</v>
      </c>
      <c r="J68" t="str">
        <f t="shared" si="4"/>
        <v>FRUCTE</v>
      </c>
      <c r="K68">
        <f t="shared" si="5"/>
        <v>230.48927999999998</v>
      </c>
      <c r="L68">
        <f t="shared" si="6"/>
        <v>266.40000000000003</v>
      </c>
    </row>
    <row r="69" spans="1:12" hidden="1">
      <c r="A69">
        <v>35</v>
      </c>
      <c r="B69" t="s">
        <v>44</v>
      </c>
      <c r="C69" t="s">
        <v>18</v>
      </c>
      <c r="D69" t="s">
        <v>35</v>
      </c>
      <c r="E69">
        <v>593</v>
      </c>
      <c r="F69">
        <v>15.141</v>
      </c>
      <c r="G69">
        <v>0.45</v>
      </c>
      <c r="H69" s="7">
        <v>45327</v>
      </c>
      <c r="I69">
        <v>2</v>
      </c>
      <c r="J69" t="str">
        <f t="shared" si="4"/>
        <v>FRUCTE</v>
      </c>
      <c r="K69">
        <f t="shared" si="5"/>
        <v>269.35838999999999</v>
      </c>
      <c r="L69">
        <f t="shared" si="6"/>
        <v>266.85000000000002</v>
      </c>
    </row>
    <row r="70" spans="1:12">
      <c r="A70" s="8">
        <v>36</v>
      </c>
      <c r="B70" s="8" t="s">
        <v>45</v>
      </c>
      <c r="C70" s="8" t="s">
        <v>12</v>
      </c>
      <c r="D70" s="9" t="s">
        <v>30</v>
      </c>
      <c r="E70" s="9">
        <v>7</v>
      </c>
      <c r="F70" s="9">
        <v>11.088000000000001</v>
      </c>
      <c r="G70" s="9">
        <v>0.45</v>
      </c>
      <c r="H70" s="10">
        <v>45327</v>
      </c>
      <c r="I70" s="9">
        <v>1</v>
      </c>
      <c r="J70" s="9" t="str">
        <f t="shared" si="4"/>
        <v>LEGUME</v>
      </c>
      <c r="K70" s="9">
        <f t="shared" si="5"/>
        <v>0</v>
      </c>
      <c r="L70" s="9">
        <f t="shared" si="6"/>
        <v>3.15</v>
      </c>
    </row>
    <row r="71" spans="1:12">
      <c r="A71" s="8">
        <v>36</v>
      </c>
      <c r="B71" s="8" t="s">
        <v>45</v>
      </c>
      <c r="C71" s="8" t="s">
        <v>11</v>
      </c>
      <c r="D71" s="9" t="s">
        <v>29</v>
      </c>
      <c r="E71" s="9">
        <v>433</v>
      </c>
      <c r="F71" s="9">
        <v>6.4260000000000002</v>
      </c>
      <c r="G71" s="9">
        <v>0.45</v>
      </c>
      <c r="H71" s="10">
        <v>45327</v>
      </c>
      <c r="I71" s="9">
        <v>1</v>
      </c>
      <c r="J71" s="9" t="str">
        <f t="shared" si="4"/>
        <v>LEGUME</v>
      </c>
      <c r="K71" s="9">
        <f t="shared" si="5"/>
        <v>0</v>
      </c>
      <c r="L71" s="9">
        <f t="shared" si="6"/>
        <v>194.85</v>
      </c>
    </row>
    <row r="72" spans="1:12" hidden="1">
      <c r="A72">
        <v>36</v>
      </c>
      <c r="B72" t="s">
        <v>45</v>
      </c>
      <c r="C72" t="s">
        <v>16</v>
      </c>
      <c r="D72" t="s">
        <v>40</v>
      </c>
      <c r="E72">
        <v>5</v>
      </c>
      <c r="F72">
        <v>14.664</v>
      </c>
      <c r="G72">
        <v>1</v>
      </c>
      <c r="H72" s="7">
        <v>45327</v>
      </c>
      <c r="I72">
        <v>3</v>
      </c>
      <c r="J72" t="str">
        <f t="shared" si="4"/>
        <v>MIXURI LEGUME</v>
      </c>
      <c r="K72">
        <f t="shared" si="5"/>
        <v>0</v>
      </c>
      <c r="L72">
        <f t="shared" si="6"/>
        <v>5</v>
      </c>
    </row>
    <row r="73" spans="1:12">
      <c r="A73" s="8">
        <v>37</v>
      </c>
      <c r="B73" s="8" t="s">
        <v>43</v>
      </c>
      <c r="C73" s="8" t="s">
        <v>12</v>
      </c>
      <c r="D73" s="9" t="s">
        <v>30</v>
      </c>
      <c r="E73" s="9">
        <v>736</v>
      </c>
      <c r="F73" s="9">
        <v>11.088000000000001</v>
      </c>
      <c r="G73" s="9">
        <v>0.45</v>
      </c>
      <c r="H73" s="10">
        <v>45327</v>
      </c>
      <c r="I73" s="9">
        <v>1</v>
      </c>
      <c r="J73" s="9" t="str">
        <f t="shared" si="4"/>
        <v>LEGUME</v>
      </c>
      <c r="K73" s="9">
        <f t="shared" si="5"/>
        <v>0</v>
      </c>
      <c r="L73" s="9">
        <f t="shared" si="6"/>
        <v>331.2</v>
      </c>
    </row>
    <row r="74" spans="1:12">
      <c r="A74" s="8">
        <v>37</v>
      </c>
      <c r="B74" s="8" t="s">
        <v>43</v>
      </c>
      <c r="C74" s="8" t="s">
        <v>11</v>
      </c>
      <c r="D74" s="9" t="s">
        <v>29</v>
      </c>
      <c r="E74" s="9">
        <v>23</v>
      </c>
      <c r="F74" s="9">
        <v>6.4260000000000002</v>
      </c>
      <c r="G74" s="9">
        <v>0.45</v>
      </c>
      <c r="H74" s="10">
        <v>45327</v>
      </c>
      <c r="I74" s="9">
        <v>1</v>
      </c>
      <c r="J74" s="9" t="str">
        <f t="shared" si="4"/>
        <v>LEGUME</v>
      </c>
      <c r="K74" s="9">
        <f t="shared" si="5"/>
        <v>0</v>
      </c>
      <c r="L74" s="9">
        <f t="shared" si="6"/>
        <v>10.35</v>
      </c>
    </row>
    <row r="75" spans="1:12" hidden="1">
      <c r="A75">
        <v>37</v>
      </c>
      <c r="B75" t="s">
        <v>43</v>
      </c>
      <c r="C75" t="s">
        <v>18</v>
      </c>
      <c r="D75" t="s">
        <v>35</v>
      </c>
      <c r="E75">
        <v>224</v>
      </c>
      <c r="F75">
        <v>15.141</v>
      </c>
      <c r="G75">
        <v>0.45</v>
      </c>
      <c r="H75" s="7">
        <v>45327</v>
      </c>
      <c r="I75">
        <v>2</v>
      </c>
      <c r="J75" t="str">
        <f t="shared" si="4"/>
        <v>FRUCTE</v>
      </c>
      <c r="K75">
        <f t="shared" si="5"/>
        <v>0</v>
      </c>
      <c r="L75">
        <f t="shared" si="6"/>
        <v>100.8</v>
      </c>
    </row>
    <row r="76" spans="1:12" hidden="1">
      <c r="A76">
        <v>38</v>
      </c>
      <c r="B76" t="s">
        <v>42</v>
      </c>
      <c r="C76" t="s">
        <v>18</v>
      </c>
      <c r="D76" t="s">
        <v>35</v>
      </c>
      <c r="E76">
        <v>785</v>
      </c>
      <c r="F76">
        <v>15.141</v>
      </c>
      <c r="G76">
        <v>0.45</v>
      </c>
      <c r="H76" s="7">
        <v>45327</v>
      </c>
      <c r="I76">
        <v>2</v>
      </c>
      <c r="J76" t="str">
        <f t="shared" si="4"/>
        <v>FRUCTE</v>
      </c>
      <c r="K76">
        <f t="shared" si="5"/>
        <v>0</v>
      </c>
      <c r="L76">
        <f t="shared" si="6"/>
        <v>353.25</v>
      </c>
    </row>
    <row r="77" spans="1:12">
      <c r="A77" s="8">
        <v>39</v>
      </c>
      <c r="B77" s="8" t="s">
        <v>43</v>
      </c>
      <c r="C77" s="8" t="s">
        <v>11</v>
      </c>
      <c r="D77" s="9" t="s">
        <v>29</v>
      </c>
      <c r="E77" s="9">
        <v>949</v>
      </c>
      <c r="F77" s="9">
        <v>6.4260000000000002</v>
      </c>
      <c r="G77" s="9">
        <v>0.45</v>
      </c>
      <c r="H77" s="10">
        <v>45328</v>
      </c>
      <c r="I77" s="9">
        <v>1</v>
      </c>
      <c r="J77" s="9" t="str">
        <f t="shared" si="4"/>
        <v>LEGUME</v>
      </c>
      <c r="K77" s="9">
        <f t="shared" si="5"/>
        <v>0</v>
      </c>
      <c r="L77" s="9">
        <f t="shared" si="6"/>
        <v>427.05</v>
      </c>
    </row>
    <row r="78" spans="1:12" hidden="1">
      <c r="A78">
        <v>40</v>
      </c>
      <c r="B78" t="s">
        <v>42</v>
      </c>
      <c r="C78" t="s">
        <v>16</v>
      </c>
      <c r="D78" t="s">
        <v>40</v>
      </c>
      <c r="E78">
        <v>119</v>
      </c>
      <c r="F78">
        <v>14.664</v>
      </c>
      <c r="G78">
        <v>1</v>
      </c>
      <c r="H78" s="7">
        <v>45329</v>
      </c>
      <c r="I78">
        <v>3</v>
      </c>
      <c r="J78" t="str">
        <f t="shared" si="4"/>
        <v>MIXURI LEGUME</v>
      </c>
      <c r="K78">
        <f t="shared" si="5"/>
        <v>0</v>
      </c>
      <c r="L78">
        <f t="shared" si="6"/>
        <v>119</v>
      </c>
    </row>
    <row r="79" spans="1:12">
      <c r="A79" s="8">
        <v>41</v>
      </c>
      <c r="B79" s="8" t="s">
        <v>44</v>
      </c>
      <c r="C79" s="8" t="s">
        <v>12</v>
      </c>
      <c r="D79" s="9" t="s">
        <v>30</v>
      </c>
      <c r="E79" s="9">
        <v>495</v>
      </c>
      <c r="F79" s="9">
        <v>11.088000000000001</v>
      </c>
      <c r="G79" s="9">
        <v>0.45</v>
      </c>
      <c r="H79" s="10">
        <v>45329</v>
      </c>
      <c r="I79" s="9">
        <v>1</v>
      </c>
      <c r="J79" s="9" t="str">
        <f t="shared" si="4"/>
        <v>LEGUME</v>
      </c>
      <c r="K79" s="9">
        <f t="shared" si="5"/>
        <v>0</v>
      </c>
      <c r="L79" s="9">
        <f t="shared" si="6"/>
        <v>222.75</v>
      </c>
    </row>
    <row r="80" spans="1:12">
      <c r="A80" s="8">
        <v>41</v>
      </c>
      <c r="B80" s="8" t="s">
        <v>44</v>
      </c>
      <c r="C80" s="8" t="s">
        <v>11</v>
      </c>
      <c r="D80" s="9" t="s">
        <v>29</v>
      </c>
      <c r="E80" s="9">
        <v>11</v>
      </c>
      <c r="F80" s="9">
        <v>6.4260000000000002</v>
      </c>
      <c r="G80" s="9">
        <v>0.45</v>
      </c>
      <c r="H80" s="10">
        <v>45329</v>
      </c>
      <c r="I80" s="9">
        <v>1</v>
      </c>
      <c r="J80" s="9" t="str">
        <f t="shared" si="4"/>
        <v>LEGUME</v>
      </c>
      <c r="K80" s="9">
        <f t="shared" si="5"/>
        <v>0</v>
      </c>
      <c r="L80" s="9">
        <f t="shared" si="6"/>
        <v>4.95</v>
      </c>
    </row>
    <row r="81" spans="1:12" hidden="1">
      <c r="A81">
        <v>42</v>
      </c>
      <c r="B81" t="s">
        <v>45</v>
      </c>
      <c r="C81" t="s">
        <v>18</v>
      </c>
      <c r="D81" t="s">
        <v>35</v>
      </c>
      <c r="E81">
        <v>829</v>
      </c>
      <c r="F81">
        <v>15.141</v>
      </c>
      <c r="G81">
        <v>0.45</v>
      </c>
      <c r="H81" s="7">
        <v>45329</v>
      </c>
      <c r="I81">
        <v>2</v>
      </c>
      <c r="J81" t="str">
        <f t="shared" si="4"/>
        <v>FRUCTE</v>
      </c>
      <c r="K81">
        <f t="shared" si="5"/>
        <v>0</v>
      </c>
      <c r="L81">
        <f t="shared" si="6"/>
        <v>373.05</v>
      </c>
    </row>
    <row r="82" spans="1:12" hidden="1">
      <c r="A82">
        <v>42</v>
      </c>
      <c r="B82" t="s">
        <v>45</v>
      </c>
      <c r="C82" t="s">
        <v>19</v>
      </c>
      <c r="D82" t="s">
        <v>36</v>
      </c>
      <c r="E82">
        <v>98</v>
      </c>
      <c r="F82">
        <v>12.875</v>
      </c>
      <c r="G82">
        <v>0.45</v>
      </c>
      <c r="H82" s="7">
        <v>45329</v>
      </c>
      <c r="I82">
        <v>2</v>
      </c>
      <c r="J82" t="str">
        <f t="shared" si="4"/>
        <v>FRUCTE</v>
      </c>
      <c r="K82">
        <f t="shared" si="5"/>
        <v>0</v>
      </c>
      <c r="L82">
        <f t="shared" si="6"/>
        <v>44.1</v>
      </c>
    </row>
    <row r="83" spans="1:12" hidden="1">
      <c r="A83">
        <v>42</v>
      </c>
      <c r="B83" t="s">
        <v>45</v>
      </c>
      <c r="C83" t="s">
        <v>20</v>
      </c>
      <c r="D83" t="s">
        <v>37</v>
      </c>
      <c r="E83">
        <v>31</v>
      </c>
      <c r="F83">
        <v>22.7836</v>
      </c>
      <c r="G83">
        <v>1</v>
      </c>
      <c r="H83" s="7">
        <v>45329</v>
      </c>
      <c r="I83">
        <v>2</v>
      </c>
      <c r="J83" t="str">
        <f t="shared" si="4"/>
        <v>FRUCTE</v>
      </c>
      <c r="K83">
        <f t="shared" si="5"/>
        <v>0</v>
      </c>
      <c r="L83">
        <f t="shared" si="6"/>
        <v>31</v>
      </c>
    </row>
    <row r="84" spans="1:12">
      <c r="A84" s="8">
        <v>43</v>
      </c>
      <c r="B84" s="8" t="s">
        <v>43</v>
      </c>
      <c r="C84" s="8" t="s">
        <v>11</v>
      </c>
      <c r="D84" s="9" t="s">
        <v>29</v>
      </c>
      <c r="E84" s="9">
        <v>335</v>
      </c>
      <c r="F84" s="9">
        <v>6.4260000000000002</v>
      </c>
      <c r="G84" s="9">
        <v>0.45</v>
      </c>
      <c r="H84" s="10">
        <v>45330</v>
      </c>
      <c r="I84" s="9">
        <v>1</v>
      </c>
      <c r="J84" s="9" t="str">
        <f t="shared" si="4"/>
        <v>LEGUME</v>
      </c>
      <c r="K84" s="9">
        <f t="shared" si="5"/>
        <v>0</v>
      </c>
      <c r="L84" s="9">
        <f t="shared" si="6"/>
        <v>150.75</v>
      </c>
    </row>
    <row r="85" spans="1:12" hidden="1">
      <c r="A85">
        <v>44</v>
      </c>
      <c r="B85" t="s">
        <v>44</v>
      </c>
      <c r="C85" t="s">
        <v>16</v>
      </c>
      <c r="D85" t="s">
        <v>40</v>
      </c>
      <c r="E85">
        <v>363</v>
      </c>
      <c r="F85">
        <v>14.664</v>
      </c>
      <c r="G85">
        <v>1</v>
      </c>
      <c r="H85" s="7">
        <v>45330</v>
      </c>
      <c r="I85">
        <v>3</v>
      </c>
      <c r="J85" t="str">
        <f t="shared" si="4"/>
        <v>MIXURI LEGUME</v>
      </c>
      <c r="K85">
        <f t="shared" si="5"/>
        <v>159.69095999999999</v>
      </c>
      <c r="L85">
        <f t="shared" si="6"/>
        <v>363</v>
      </c>
    </row>
    <row r="86" spans="1:12">
      <c r="A86" s="8">
        <v>44</v>
      </c>
      <c r="B86" s="8" t="s">
        <v>44</v>
      </c>
      <c r="C86" s="8" t="s">
        <v>10</v>
      </c>
      <c r="D86" s="9" t="s">
        <v>28</v>
      </c>
      <c r="E86" s="9">
        <v>871</v>
      </c>
      <c r="F86" s="9">
        <v>7.5179999999999998</v>
      </c>
      <c r="G86" s="9">
        <v>0.45</v>
      </c>
      <c r="H86" s="10">
        <v>45330</v>
      </c>
      <c r="I86" s="9">
        <v>1</v>
      </c>
      <c r="J86" s="9" t="str">
        <f t="shared" si="4"/>
        <v>LEGUME</v>
      </c>
      <c r="K86" s="9">
        <f t="shared" si="5"/>
        <v>196.44533999999999</v>
      </c>
      <c r="L86" s="9">
        <f t="shared" si="6"/>
        <v>391.95</v>
      </c>
    </row>
    <row r="87" spans="1:12">
      <c r="A87" s="8">
        <v>45</v>
      </c>
      <c r="B87" s="8" t="s">
        <v>41</v>
      </c>
      <c r="C87" s="8" t="s">
        <v>11</v>
      </c>
      <c r="D87" s="9" t="s">
        <v>29</v>
      </c>
      <c r="E87" s="9">
        <v>223</v>
      </c>
      <c r="F87" s="9">
        <v>6.4260000000000002</v>
      </c>
      <c r="G87" s="9">
        <v>0.45</v>
      </c>
      <c r="H87" s="10">
        <v>45331</v>
      </c>
      <c r="I87" s="9">
        <v>1</v>
      </c>
      <c r="J87" s="9" t="str">
        <f t="shared" si="4"/>
        <v>LEGUME</v>
      </c>
      <c r="K87" s="9">
        <f t="shared" si="5"/>
        <v>42.989939999999997</v>
      </c>
      <c r="L87" s="9">
        <f t="shared" si="6"/>
        <v>100.35000000000001</v>
      </c>
    </row>
    <row r="88" spans="1:12" hidden="1">
      <c r="A88">
        <v>45</v>
      </c>
      <c r="B88" t="s">
        <v>41</v>
      </c>
      <c r="C88" t="s">
        <v>21</v>
      </c>
      <c r="D88" t="s">
        <v>38</v>
      </c>
      <c r="E88">
        <v>89</v>
      </c>
      <c r="F88">
        <v>16.847999999999999</v>
      </c>
      <c r="G88">
        <v>1</v>
      </c>
      <c r="H88" s="7">
        <v>45331</v>
      </c>
      <c r="I88">
        <v>3</v>
      </c>
      <c r="J88" t="str">
        <f t="shared" si="4"/>
        <v>MIXURI LEGUME</v>
      </c>
      <c r="K88">
        <f t="shared" si="5"/>
        <v>44.984159999999996</v>
      </c>
      <c r="L88">
        <f t="shared" si="6"/>
        <v>89</v>
      </c>
    </row>
    <row r="89" spans="1:12" hidden="1">
      <c r="A89">
        <v>45</v>
      </c>
      <c r="B89" t="s">
        <v>41</v>
      </c>
      <c r="C89" t="s">
        <v>20</v>
      </c>
      <c r="D89" t="s">
        <v>37</v>
      </c>
      <c r="E89">
        <v>339</v>
      </c>
      <c r="F89">
        <v>22.7836</v>
      </c>
      <c r="G89">
        <v>1</v>
      </c>
      <c r="H89" s="7">
        <v>45331</v>
      </c>
      <c r="I89">
        <v>2</v>
      </c>
      <c r="J89" t="str">
        <f t="shared" si="4"/>
        <v>FRUCTE</v>
      </c>
      <c r="K89">
        <f t="shared" si="5"/>
        <v>231.70921200000001</v>
      </c>
      <c r="L89">
        <f t="shared" si="6"/>
        <v>339</v>
      </c>
    </row>
    <row r="90" spans="1:12">
      <c r="A90" s="8">
        <v>46</v>
      </c>
      <c r="B90" s="8" t="s">
        <v>46</v>
      </c>
      <c r="C90" s="8" t="s">
        <v>15</v>
      </c>
      <c r="D90" s="9" t="s">
        <v>33</v>
      </c>
      <c r="E90" s="9">
        <v>44</v>
      </c>
      <c r="F90" s="9">
        <v>15.057</v>
      </c>
      <c r="G90" s="9">
        <v>1</v>
      </c>
      <c r="H90" s="10">
        <v>45334</v>
      </c>
      <c r="I90" s="9">
        <v>1</v>
      </c>
      <c r="J90" s="9" t="str">
        <f t="shared" si="4"/>
        <v>LEGUME</v>
      </c>
      <c r="K90" s="9">
        <f t="shared" si="5"/>
        <v>0</v>
      </c>
      <c r="L90" s="9">
        <f t="shared" si="6"/>
        <v>44</v>
      </c>
    </row>
    <row r="91" spans="1:12" hidden="1">
      <c r="A91">
        <v>47</v>
      </c>
      <c r="B91" t="s">
        <v>45</v>
      </c>
      <c r="C91" t="s">
        <v>17</v>
      </c>
      <c r="D91" t="s">
        <v>34</v>
      </c>
      <c r="E91">
        <v>385</v>
      </c>
      <c r="F91">
        <v>12.978</v>
      </c>
      <c r="G91">
        <v>0.45</v>
      </c>
      <c r="H91" s="7">
        <v>45335</v>
      </c>
      <c r="I91">
        <v>2</v>
      </c>
      <c r="J91" t="str">
        <f t="shared" si="4"/>
        <v>FRUCTE</v>
      </c>
      <c r="K91">
        <f t="shared" si="5"/>
        <v>149.89589999999998</v>
      </c>
      <c r="L91">
        <f t="shared" si="6"/>
        <v>173.25</v>
      </c>
    </row>
    <row r="92" spans="1:12" hidden="1">
      <c r="A92">
        <v>47</v>
      </c>
      <c r="B92" t="s">
        <v>45</v>
      </c>
      <c r="C92" t="s">
        <v>18</v>
      </c>
      <c r="D92" t="s">
        <v>35</v>
      </c>
      <c r="E92">
        <v>187</v>
      </c>
      <c r="F92">
        <v>15.141</v>
      </c>
      <c r="G92">
        <v>0.45</v>
      </c>
      <c r="H92" s="7">
        <v>45335</v>
      </c>
      <c r="I92">
        <v>2</v>
      </c>
      <c r="J92" t="str">
        <f t="shared" si="4"/>
        <v>FRUCTE</v>
      </c>
      <c r="K92">
        <f t="shared" si="5"/>
        <v>84.941010000000006</v>
      </c>
      <c r="L92">
        <f t="shared" si="6"/>
        <v>84.15</v>
      </c>
    </row>
    <row r="93" spans="1:12" hidden="1">
      <c r="A93">
        <v>47</v>
      </c>
      <c r="B93" t="s">
        <v>45</v>
      </c>
      <c r="C93" t="s">
        <v>19</v>
      </c>
      <c r="D93" t="s">
        <v>36</v>
      </c>
      <c r="E93">
        <v>997</v>
      </c>
      <c r="F93">
        <v>12.875</v>
      </c>
      <c r="G93">
        <v>0.45</v>
      </c>
      <c r="H93" s="7">
        <v>45335</v>
      </c>
      <c r="I93">
        <v>2</v>
      </c>
      <c r="J93" t="str">
        <f t="shared" si="4"/>
        <v>FRUCTE</v>
      </c>
      <c r="K93">
        <f t="shared" si="5"/>
        <v>385.09125</v>
      </c>
      <c r="L93">
        <f t="shared" si="6"/>
        <v>448.65000000000003</v>
      </c>
    </row>
    <row r="94" spans="1:12" hidden="1">
      <c r="A94">
        <v>48</v>
      </c>
      <c r="B94" t="s">
        <v>41</v>
      </c>
      <c r="C94" t="s">
        <v>20</v>
      </c>
      <c r="D94" t="s">
        <v>37</v>
      </c>
      <c r="E94">
        <v>395</v>
      </c>
      <c r="F94">
        <v>22.7836</v>
      </c>
      <c r="G94">
        <v>1</v>
      </c>
      <c r="H94" s="7">
        <v>45336</v>
      </c>
      <c r="I94">
        <v>2</v>
      </c>
      <c r="J94" t="str">
        <f t="shared" si="4"/>
        <v>FRUCTE</v>
      </c>
      <c r="K94">
        <f t="shared" si="5"/>
        <v>269.98566</v>
      </c>
      <c r="L94">
        <f t="shared" si="6"/>
        <v>395</v>
      </c>
    </row>
    <row r="95" spans="1:12" hidden="1">
      <c r="A95">
        <v>48</v>
      </c>
      <c r="B95" t="s">
        <v>41</v>
      </c>
      <c r="C95" t="s">
        <v>21</v>
      </c>
      <c r="D95" t="s">
        <v>38</v>
      </c>
      <c r="E95">
        <v>517</v>
      </c>
      <c r="F95">
        <v>16.847999999999999</v>
      </c>
      <c r="G95">
        <v>1</v>
      </c>
      <c r="H95" s="7">
        <v>45336</v>
      </c>
      <c r="I95">
        <v>3</v>
      </c>
      <c r="J95" t="str">
        <f t="shared" si="4"/>
        <v>MIXURI LEGUME</v>
      </c>
      <c r="K95">
        <f t="shared" si="5"/>
        <v>261.31247999999999</v>
      </c>
      <c r="L95">
        <f t="shared" si="6"/>
        <v>517</v>
      </c>
    </row>
    <row r="96" spans="1:12" hidden="1">
      <c r="A96">
        <v>49</v>
      </c>
      <c r="B96" t="s">
        <v>43</v>
      </c>
      <c r="C96" t="s">
        <v>22</v>
      </c>
      <c r="D96" t="s">
        <v>39</v>
      </c>
      <c r="E96">
        <v>225</v>
      </c>
      <c r="F96">
        <v>8.5279999999999987</v>
      </c>
      <c r="G96">
        <v>0.45</v>
      </c>
      <c r="H96" s="7">
        <v>45337</v>
      </c>
      <c r="I96">
        <v>3</v>
      </c>
      <c r="J96" t="str">
        <f t="shared" si="4"/>
        <v>MIXURI LEGUME</v>
      </c>
      <c r="K96">
        <f t="shared" si="5"/>
        <v>0</v>
      </c>
      <c r="L96">
        <f t="shared" si="6"/>
        <v>101.25</v>
      </c>
    </row>
    <row r="97" spans="1:12">
      <c r="A97" s="8">
        <v>49</v>
      </c>
      <c r="B97" s="8" t="s">
        <v>43</v>
      </c>
      <c r="C97" s="8" t="s">
        <v>10</v>
      </c>
      <c r="D97" s="9" t="s">
        <v>28</v>
      </c>
      <c r="E97" s="9">
        <v>13</v>
      </c>
      <c r="F97" s="9">
        <v>7.5179999999999998</v>
      </c>
      <c r="G97" s="9">
        <v>0.45</v>
      </c>
      <c r="H97" s="10">
        <v>45337</v>
      </c>
      <c r="I97" s="9">
        <v>1</v>
      </c>
      <c r="J97" s="9" t="str">
        <f t="shared" si="4"/>
        <v>LEGUME</v>
      </c>
      <c r="K97" s="9">
        <f t="shared" si="5"/>
        <v>0</v>
      </c>
      <c r="L97" s="9">
        <f t="shared" si="6"/>
        <v>5.8500000000000005</v>
      </c>
    </row>
    <row r="98" spans="1:12">
      <c r="A98" s="8">
        <v>49</v>
      </c>
      <c r="B98" s="8" t="s">
        <v>43</v>
      </c>
      <c r="C98" s="8" t="s">
        <v>12</v>
      </c>
      <c r="D98" s="9" t="s">
        <v>30</v>
      </c>
      <c r="E98" s="9">
        <v>757</v>
      </c>
      <c r="F98" s="9">
        <v>11.088000000000001</v>
      </c>
      <c r="G98" s="9">
        <v>0.45</v>
      </c>
      <c r="H98" s="10">
        <v>45337</v>
      </c>
      <c r="I98" s="9">
        <v>1</v>
      </c>
      <c r="J98" s="9" t="str">
        <f t="shared" ref="J98:J126" si="7">VLOOKUP(I98, categorii, 2, FALSE)</f>
        <v>LEGUME</v>
      </c>
      <c r="K98" s="9">
        <f t="shared" si="5"/>
        <v>0</v>
      </c>
      <c r="L98" s="9">
        <f t="shared" si="6"/>
        <v>340.65000000000003</v>
      </c>
    </row>
    <row r="99" spans="1:12">
      <c r="A99" s="8">
        <v>49</v>
      </c>
      <c r="B99" s="8" t="s">
        <v>43</v>
      </c>
      <c r="C99" s="8" t="s">
        <v>11</v>
      </c>
      <c r="D99" s="9" t="s">
        <v>29</v>
      </c>
      <c r="E99" s="9">
        <v>61</v>
      </c>
      <c r="F99" s="9">
        <v>6.4260000000000002</v>
      </c>
      <c r="G99" s="9">
        <v>0.45</v>
      </c>
      <c r="H99" s="10">
        <v>45337</v>
      </c>
      <c r="I99" s="9">
        <v>1</v>
      </c>
      <c r="J99" s="9" t="str">
        <f t="shared" si="7"/>
        <v>LEGUME</v>
      </c>
      <c r="K99" s="9">
        <f t="shared" si="5"/>
        <v>0</v>
      </c>
      <c r="L99" s="9">
        <f t="shared" si="6"/>
        <v>27.45</v>
      </c>
    </row>
    <row r="100" spans="1:12" hidden="1">
      <c r="A100">
        <v>50</v>
      </c>
      <c r="B100" t="s">
        <v>42</v>
      </c>
      <c r="C100" t="s">
        <v>20</v>
      </c>
      <c r="D100" t="s">
        <v>37</v>
      </c>
      <c r="E100">
        <v>966</v>
      </c>
      <c r="F100">
        <v>22.7836</v>
      </c>
      <c r="G100">
        <v>1</v>
      </c>
      <c r="H100" s="7">
        <v>45338</v>
      </c>
      <c r="I100">
        <v>2</v>
      </c>
      <c r="J100" t="str">
        <f t="shared" si="7"/>
        <v>FRUCTE</v>
      </c>
      <c r="K100">
        <f t="shared" si="5"/>
        <v>1100.4478800000002</v>
      </c>
      <c r="L100">
        <f t="shared" si="6"/>
        <v>966</v>
      </c>
    </row>
    <row r="101" spans="1:12">
      <c r="A101" s="8">
        <v>50</v>
      </c>
      <c r="B101" s="8" t="s">
        <v>42</v>
      </c>
      <c r="C101" s="8" t="s">
        <v>15</v>
      </c>
      <c r="D101" s="9" t="s">
        <v>33</v>
      </c>
      <c r="E101" s="9">
        <v>950</v>
      </c>
      <c r="F101" s="9">
        <v>15.057</v>
      </c>
      <c r="G101" s="9">
        <v>1</v>
      </c>
      <c r="H101" s="10">
        <v>45338</v>
      </c>
      <c r="I101" s="9">
        <v>1</v>
      </c>
      <c r="J101" s="9" t="str">
        <f t="shared" si="7"/>
        <v>LEGUME</v>
      </c>
      <c r="K101" s="9">
        <f t="shared" si="5"/>
        <v>715.20749999999998</v>
      </c>
      <c r="L101" s="9">
        <f t="shared" si="6"/>
        <v>950</v>
      </c>
    </row>
    <row r="102" spans="1:12" hidden="1">
      <c r="A102">
        <v>51</v>
      </c>
      <c r="B102" t="s">
        <v>44</v>
      </c>
      <c r="C102" t="s">
        <v>18</v>
      </c>
      <c r="D102" t="s">
        <v>35</v>
      </c>
      <c r="E102">
        <v>916</v>
      </c>
      <c r="F102">
        <v>15.141</v>
      </c>
      <c r="G102">
        <v>0.45</v>
      </c>
      <c r="H102" s="7">
        <v>45341</v>
      </c>
      <c r="I102">
        <v>2</v>
      </c>
      <c r="J102" t="str">
        <f t="shared" si="7"/>
        <v>FRUCTE</v>
      </c>
      <c r="K102">
        <f t="shared" si="5"/>
        <v>0</v>
      </c>
      <c r="L102">
        <f t="shared" si="6"/>
        <v>412.2</v>
      </c>
    </row>
    <row r="103" spans="1:12">
      <c r="A103" s="8">
        <v>52</v>
      </c>
      <c r="B103" s="8" t="s">
        <v>45</v>
      </c>
      <c r="C103" s="8" t="s">
        <v>11</v>
      </c>
      <c r="D103" s="9" t="s">
        <v>29</v>
      </c>
      <c r="E103" s="9">
        <v>712</v>
      </c>
      <c r="F103" s="9">
        <v>6.4260000000000002</v>
      </c>
      <c r="G103" s="9">
        <v>0.45</v>
      </c>
      <c r="H103" s="10">
        <v>45342</v>
      </c>
      <c r="I103" s="9">
        <v>1</v>
      </c>
      <c r="J103" s="9" t="str">
        <f t="shared" si="7"/>
        <v>LEGUME</v>
      </c>
      <c r="K103" s="9">
        <f t="shared" si="5"/>
        <v>137.25935999999999</v>
      </c>
      <c r="L103" s="9">
        <f t="shared" si="6"/>
        <v>320.40000000000003</v>
      </c>
    </row>
    <row r="104" spans="1:12">
      <c r="A104" s="8">
        <v>52</v>
      </c>
      <c r="B104" s="8" t="s">
        <v>45</v>
      </c>
      <c r="C104" s="8" t="s">
        <v>12</v>
      </c>
      <c r="D104" s="9" t="s">
        <v>30</v>
      </c>
      <c r="E104" s="9">
        <v>482</v>
      </c>
      <c r="F104" s="9">
        <v>11.088000000000001</v>
      </c>
      <c r="G104" s="9">
        <v>0.45</v>
      </c>
      <c r="H104" s="10">
        <v>45342</v>
      </c>
      <c r="I104" s="9">
        <v>1</v>
      </c>
      <c r="J104" s="9" t="str">
        <f t="shared" si="7"/>
        <v>LEGUME</v>
      </c>
      <c r="K104" s="9">
        <f t="shared" si="5"/>
        <v>160.33248</v>
      </c>
      <c r="L104" s="9">
        <f t="shared" si="6"/>
        <v>216.9</v>
      </c>
    </row>
    <row r="105" spans="1:12">
      <c r="A105" s="8">
        <v>53</v>
      </c>
      <c r="B105" s="8" t="s">
        <v>43</v>
      </c>
      <c r="C105" s="8" t="s">
        <v>11</v>
      </c>
      <c r="D105" s="9" t="s">
        <v>29</v>
      </c>
      <c r="E105" s="9">
        <v>368</v>
      </c>
      <c r="F105" s="9">
        <v>6.4260000000000002</v>
      </c>
      <c r="G105" s="9">
        <v>0.45</v>
      </c>
      <c r="H105" s="10">
        <v>45342</v>
      </c>
      <c r="I105" s="9">
        <v>1</v>
      </c>
      <c r="J105" s="9" t="str">
        <f t="shared" si="7"/>
        <v>LEGUME</v>
      </c>
      <c r="K105" s="9">
        <f t="shared" si="5"/>
        <v>70.943039999999996</v>
      </c>
      <c r="L105" s="9">
        <f t="shared" si="6"/>
        <v>165.6</v>
      </c>
    </row>
    <row r="106" spans="1:12" hidden="1">
      <c r="A106">
        <v>53</v>
      </c>
      <c r="B106" t="s">
        <v>43</v>
      </c>
      <c r="C106" t="s">
        <v>20</v>
      </c>
      <c r="D106" t="s">
        <v>37</v>
      </c>
      <c r="E106">
        <v>803</v>
      </c>
      <c r="F106">
        <v>22.7836</v>
      </c>
      <c r="G106">
        <v>1</v>
      </c>
      <c r="H106" s="7">
        <v>45342</v>
      </c>
      <c r="I106">
        <v>2</v>
      </c>
      <c r="J106" t="str">
        <f t="shared" si="7"/>
        <v>FRUCTE</v>
      </c>
      <c r="K106">
        <f t="shared" si="5"/>
        <v>548.85692400000005</v>
      </c>
      <c r="L106">
        <f t="shared" si="6"/>
        <v>803</v>
      </c>
    </row>
    <row r="107" spans="1:12">
      <c r="A107" s="8">
        <v>54</v>
      </c>
      <c r="B107" s="8" t="s">
        <v>42</v>
      </c>
      <c r="C107" s="8" t="s">
        <v>15</v>
      </c>
      <c r="D107" s="9" t="s">
        <v>33</v>
      </c>
      <c r="E107" s="9">
        <v>760</v>
      </c>
      <c r="F107" s="9">
        <v>15.057</v>
      </c>
      <c r="G107" s="9">
        <v>1</v>
      </c>
      <c r="H107" s="10">
        <v>45343</v>
      </c>
      <c r="I107" s="9">
        <v>1</v>
      </c>
      <c r="J107" s="9" t="str">
        <f t="shared" si="7"/>
        <v>LEGUME</v>
      </c>
      <c r="K107" s="9">
        <f t="shared" si="5"/>
        <v>343.2996</v>
      </c>
      <c r="L107" s="9">
        <f t="shared" si="6"/>
        <v>760</v>
      </c>
    </row>
    <row r="108" spans="1:12">
      <c r="A108" s="8">
        <v>55</v>
      </c>
      <c r="B108" s="8" t="s">
        <v>45</v>
      </c>
      <c r="C108" s="8" t="s">
        <v>12</v>
      </c>
      <c r="D108" s="9" t="s">
        <v>30</v>
      </c>
      <c r="E108" s="9">
        <v>400</v>
      </c>
      <c r="F108" s="9">
        <v>11.088000000000001</v>
      </c>
      <c r="G108" s="9">
        <v>0.45</v>
      </c>
      <c r="H108" s="10">
        <v>45344</v>
      </c>
      <c r="I108" s="9">
        <v>1</v>
      </c>
      <c r="J108" s="9" t="str">
        <f t="shared" si="7"/>
        <v>LEGUME</v>
      </c>
      <c r="K108" s="9">
        <f t="shared" si="5"/>
        <v>0</v>
      </c>
      <c r="L108" s="9">
        <f t="shared" si="6"/>
        <v>180</v>
      </c>
    </row>
    <row r="109" spans="1:12">
      <c r="A109" s="8">
        <v>55</v>
      </c>
      <c r="B109" s="8" t="s">
        <v>45</v>
      </c>
      <c r="C109" s="8" t="s">
        <v>11</v>
      </c>
      <c r="D109" s="9" t="s">
        <v>29</v>
      </c>
      <c r="E109" s="9">
        <v>362</v>
      </c>
      <c r="F109" s="9">
        <v>6.4260000000000002</v>
      </c>
      <c r="G109" s="9">
        <v>0.45</v>
      </c>
      <c r="H109" s="10">
        <v>45344</v>
      </c>
      <c r="I109" s="9">
        <v>1</v>
      </c>
      <c r="J109" s="9" t="str">
        <f t="shared" si="7"/>
        <v>LEGUME</v>
      </c>
      <c r="K109" s="9">
        <f t="shared" si="5"/>
        <v>0</v>
      </c>
      <c r="L109" s="9">
        <f t="shared" si="6"/>
        <v>162.9</v>
      </c>
    </row>
    <row r="110" spans="1:12" hidden="1">
      <c r="A110">
        <v>56</v>
      </c>
      <c r="B110" t="s">
        <v>43</v>
      </c>
      <c r="C110" t="s">
        <v>16</v>
      </c>
      <c r="D110" t="s">
        <v>40</v>
      </c>
      <c r="E110">
        <v>183</v>
      </c>
      <c r="F110">
        <v>14.664</v>
      </c>
      <c r="G110">
        <v>1</v>
      </c>
      <c r="H110" s="7">
        <v>45344</v>
      </c>
      <c r="I110">
        <v>3</v>
      </c>
      <c r="J110" t="str">
        <f t="shared" si="7"/>
        <v>MIXURI LEGUME</v>
      </c>
      <c r="K110">
        <f t="shared" si="5"/>
        <v>0</v>
      </c>
      <c r="L110">
        <f t="shared" si="6"/>
        <v>183</v>
      </c>
    </row>
    <row r="111" spans="1:12">
      <c r="A111" s="8">
        <v>57</v>
      </c>
      <c r="B111" s="8" t="s">
        <v>44</v>
      </c>
      <c r="C111" s="8" t="s">
        <v>11</v>
      </c>
      <c r="D111" s="9" t="s">
        <v>29</v>
      </c>
      <c r="E111" s="9">
        <v>570</v>
      </c>
      <c r="F111" s="9">
        <v>6.4260000000000002</v>
      </c>
      <c r="G111" s="9">
        <v>0.45</v>
      </c>
      <c r="H111" s="10">
        <v>45345</v>
      </c>
      <c r="I111" s="9">
        <v>1</v>
      </c>
      <c r="J111" s="9" t="str">
        <f t="shared" si="7"/>
        <v>LEGUME</v>
      </c>
      <c r="K111" s="9">
        <f t="shared" si="5"/>
        <v>109.88460000000001</v>
      </c>
      <c r="L111" s="9">
        <f t="shared" si="6"/>
        <v>256.5</v>
      </c>
    </row>
    <row r="112" spans="1:12">
      <c r="A112" s="8">
        <v>57</v>
      </c>
      <c r="B112" s="8" t="s">
        <v>44</v>
      </c>
      <c r="C112" s="8" t="s">
        <v>15</v>
      </c>
      <c r="D112" s="9" t="s">
        <v>33</v>
      </c>
      <c r="E112" s="9">
        <v>162</v>
      </c>
      <c r="F112" s="9">
        <v>15.057</v>
      </c>
      <c r="G112" s="9">
        <v>1</v>
      </c>
      <c r="H112" s="10">
        <v>45345</v>
      </c>
      <c r="I112" s="9">
        <v>1</v>
      </c>
      <c r="J112" s="9" t="str">
        <f t="shared" si="7"/>
        <v>LEGUME</v>
      </c>
      <c r="K112" s="9">
        <f t="shared" si="5"/>
        <v>73.177019999999999</v>
      </c>
      <c r="L112" s="9">
        <f t="shared" si="6"/>
        <v>162</v>
      </c>
    </row>
    <row r="113" spans="1:12">
      <c r="A113" s="8">
        <v>57</v>
      </c>
      <c r="B113" s="8" t="s">
        <v>44</v>
      </c>
      <c r="C113" s="8" t="s">
        <v>12</v>
      </c>
      <c r="D113" s="9" t="s">
        <v>30</v>
      </c>
      <c r="E113" s="9">
        <v>348</v>
      </c>
      <c r="F113" s="9">
        <v>11.088000000000001</v>
      </c>
      <c r="G113" s="9">
        <v>0.45</v>
      </c>
      <c r="H113" s="10">
        <v>45345</v>
      </c>
      <c r="I113" s="9">
        <v>1</v>
      </c>
      <c r="J113" s="9" t="str">
        <f t="shared" si="7"/>
        <v>LEGUME</v>
      </c>
      <c r="K113" s="9">
        <f t="shared" si="5"/>
        <v>115.75872</v>
      </c>
      <c r="L113" s="9">
        <f t="shared" si="6"/>
        <v>156.6</v>
      </c>
    </row>
    <row r="114" spans="1:12" hidden="1">
      <c r="A114">
        <v>58</v>
      </c>
      <c r="B114" t="s">
        <v>41</v>
      </c>
      <c r="C114" t="s">
        <v>20</v>
      </c>
      <c r="D114" t="s">
        <v>37</v>
      </c>
      <c r="E114">
        <v>771</v>
      </c>
      <c r="F114">
        <v>22.7836</v>
      </c>
      <c r="G114">
        <v>1</v>
      </c>
      <c r="H114" s="7">
        <v>45348</v>
      </c>
      <c r="I114">
        <v>2</v>
      </c>
      <c r="J114" t="str">
        <f t="shared" si="7"/>
        <v>FRUCTE</v>
      </c>
      <c r="K114">
        <f t="shared" si="5"/>
        <v>526.98466799999994</v>
      </c>
      <c r="L114">
        <f t="shared" si="6"/>
        <v>771</v>
      </c>
    </row>
    <row r="115" spans="1:12">
      <c r="A115" s="8">
        <v>59</v>
      </c>
      <c r="B115" s="8" t="s">
        <v>46</v>
      </c>
      <c r="C115" s="8" t="s">
        <v>15</v>
      </c>
      <c r="D115" s="9" t="s">
        <v>33</v>
      </c>
      <c r="E115" s="9">
        <v>371</v>
      </c>
      <c r="F115" s="9">
        <v>15.057</v>
      </c>
      <c r="G115" s="9">
        <v>1</v>
      </c>
      <c r="H115" s="10">
        <v>45349</v>
      </c>
      <c r="I115" s="9">
        <v>1</v>
      </c>
      <c r="J115" s="9" t="str">
        <f t="shared" si="7"/>
        <v>LEGUME</v>
      </c>
      <c r="K115" s="9">
        <f t="shared" si="5"/>
        <v>167.58440999999999</v>
      </c>
      <c r="L115" s="9">
        <f t="shared" si="6"/>
        <v>371</v>
      </c>
    </row>
    <row r="116" spans="1:12">
      <c r="A116" s="8">
        <v>59</v>
      </c>
      <c r="B116" s="8" t="s">
        <v>46</v>
      </c>
      <c r="C116" s="8" t="s">
        <v>11</v>
      </c>
      <c r="D116" s="9" t="s">
        <v>29</v>
      </c>
      <c r="E116" s="9">
        <v>385</v>
      </c>
      <c r="F116" s="9">
        <v>6.4260000000000002</v>
      </c>
      <c r="G116" s="9">
        <v>0.45</v>
      </c>
      <c r="H116" s="10">
        <v>45349</v>
      </c>
      <c r="I116" s="9">
        <v>1</v>
      </c>
      <c r="J116" s="9" t="str">
        <f t="shared" si="7"/>
        <v>LEGUME</v>
      </c>
      <c r="K116" s="9">
        <f t="shared" si="5"/>
        <v>74.220300000000009</v>
      </c>
      <c r="L116" s="9">
        <f t="shared" si="6"/>
        <v>173.25</v>
      </c>
    </row>
    <row r="117" spans="1:12">
      <c r="A117" s="8">
        <v>60</v>
      </c>
      <c r="B117" s="8" t="s">
        <v>45</v>
      </c>
      <c r="C117" s="8" t="s">
        <v>11</v>
      </c>
      <c r="D117" s="9" t="s">
        <v>29</v>
      </c>
      <c r="E117" s="9">
        <v>631</v>
      </c>
      <c r="F117" s="9">
        <v>6.4260000000000002</v>
      </c>
      <c r="G117" s="9">
        <v>0.45</v>
      </c>
      <c r="H117" s="10">
        <v>45349</v>
      </c>
      <c r="I117" s="9">
        <v>1</v>
      </c>
      <c r="J117" s="9" t="str">
        <f t="shared" si="7"/>
        <v>LEGUME</v>
      </c>
      <c r="K117" s="9">
        <f t="shared" si="5"/>
        <v>121.64417999999999</v>
      </c>
      <c r="L117" s="9">
        <f t="shared" si="6"/>
        <v>283.95</v>
      </c>
    </row>
    <row r="118" spans="1:12">
      <c r="A118" s="8">
        <v>60</v>
      </c>
      <c r="B118" s="8" t="s">
        <v>45</v>
      </c>
      <c r="C118" s="8" t="s">
        <v>12</v>
      </c>
      <c r="D118" s="9" t="s">
        <v>30</v>
      </c>
      <c r="E118" s="9">
        <v>944</v>
      </c>
      <c r="F118" s="9">
        <v>11.088000000000001</v>
      </c>
      <c r="G118" s="9">
        <v>0.45</v>
      </c>
      <c r="H118" s="10">
        <v>45349</v>
      </c>
      <c r="I118" s="9">
        <v>1</v>
      </c>
      <c r="J118" s="9" t="str">
        <f t="shared" si="7"/>
        <v>LEGUME</v>
      </c>
      <c r="K118" s="9">
        <f t="shared" si="5"/>
        <v>314.01215999999999</v>
      </c>
      <c r="L118" s="9">
        <f t="shared" si="6"/>
        <v>424.8</v>
      </c>
    </row>
    <row r="119" spans="1:12" hidden="1">
      <c r="A119">
        <v>61</v>
      </c>
      <c r="B119" t="s">
        <v>41</v>
      </c>
      <c r="C119" t="s">
        <v>18</v>
      </c>
      <c r="D119" t="s">
        <v>35</v>
      </c>
      <c r="E119">
        <v>844</v>
      </c>
      <c r="F119">
        <v>15.141</v>
      </c>
      <c r="G119">
        <v>0.45</v>
      </c>
      <c r="H119" s="7">
        <v>45350</v>
      </c>
      <c r="I119">
        <v>2</v>
      </c>
      <c r="J119" t="str">
        <f t="shared" si="7"/>
        <v>FRUCTE</v>
      </c>
      <c r="K119">
        <f t="shared" si="5"/>
        <v>0</v>
      </c>
      <c r="L119">
        <f t="shared" si="6"/>
        <v>379.8</v>
      </c>
    </row>
    <row r="120" spans="1:12">
      <c r="A120" s="8">
        <v>62</v>
      </c>
      <c r="B120" s="8" t="s">
        <v>43</v>
      </c>
      <c r="C120" s="8" t="s">
        <v>11</v>
      </c>
      <c r="D120" s="9" t="s">
        <v>29</v>
      </c>
      <c r="E120" s="9">
        <v>719</v>
      </c>
      <c r="F120" s="9">
        <v>6.4260000000000002</v>
      </c>
      <c r="G120" s="9">
        <v>0.45</v>
      </c>
      <c r="H120" s="10">
        <v>45350</v>
      </c>
      <c r="I120" s="9">
        <v>1</v>
      </c>
      <c r="J120" s="9" t="str">
        <f t="shared" si="7"/>
        <v>LEGUME</v>
      </c>
      <c r="K120" s="9">
        <f t="shared" si="5"/>
        <v>231.0147</v>
      </c>
      <c r="L120" s="9">
        <f t="shared" si="6"/>
        <v>323.55</v>
      </c>
    </row>
    <row r="121" spans="1:12">
      <c r="A121" s="8">
        <v>62</v>
      </c>
      <c r="B121" s="8" t="s">
        <v>43</v>
      </c>
      <c r="C121" s="8" t="s">
        <v>15</v>
      </c>
      <c r="D121" s="9" t="s">
        <v>33</v>
      </c>
      <c r="E121" s="9">
        <v>530</v>
      </c>
      <c r="F121" s="9">
        <v>15.057</v>
      </c>
      <c r="G121" s="9">
        <v>1</v>
      </c>
      <c r="H121" s="10">
        <v>45350</v>
      </c>
      <c r="I121" s="9">
        <v>1</v>
      </c>
      <c r="J121" s="9" t="str">
        <f t="shared" si="7"/>
        <v>LEGUME</v>
      </c>
      <c r="K121" s="9">
        <f t="shared" si="5"/>
        <v>399.01050000000004</v>
      </c>
      <c r="L121" s="9">
        <f t="shared" si="6"/>
        <v>530</v>
      </c>
    </row>
    <row r="122" spans="1:12" hidden="1">
      <c r="A122">
        <v>62</v>
      </c>
      <c r="B122" t="s">
        <v>43</v>
      </c>
      <c r="C122" t="s">
        <v>18</v>
      </c>
      <c r="D122" t="s">
        <v>35</v>
      </c>
      <c r="E122">
        <v>418</v>
      </c>
      <c r="F122">
        <v>15.141</v>
      </c>
      <c r="G122">
        <v>0.45</v>
      </c>
      <c r="H122" s="7">
        <v>45350</v>
      </c>
      <c r="I122">
        <v>2</v>
      </c>
      <c r="J122" t="str">
        <f t="shared" si="7"/>
        <v>FRUCTE</v>
      </c>
      <c r="K122">
        <f t="shared" si="5"/>
        <v>316.44690000000003</v>
      </c>
      <c r="L122">
        <f t="shared" si="6"/>
        <v>188.1</v>
      </c>
    </row>
    <row r="123" spans="1:12">
      <c r="A123" s="8">
        <v>62</v>
      </c>
      <c r="B123" s="8" t="s">
        <v>43</v>
      </c>
      <c r="C123" s="8" t="s">
        <v>10</v>
      </c>
      <c r="D123" s="9" t="s">
        <v>28</v>
      </c>
      <c r="E123" s="9">
        <v>297</v>
      </c>
      <c r="F123" s="9">
        <v>7.5179999999999998</v>
      </c>
      <c r="G123" s="9">
        <v>0.45</v>
      </c>
      <c r="H123" s="10">
        <v>45350</v>
      </c>
      <c r="I123" s="9">
        <v>1</v>
      </c>
      <c r="J123" s="9" t="str">
        <f t="shared" si="7"/>
        <v>LEGUME</v>
      </c>
      <c r="K123" s="9">
        <f t="shared" si="5"/>
        <v>111.64230000000001</v>
      </c>
      <c r="L123" s="9">
        <f t="shared" si="6"/>
        <v>133.65</v>
      </c>
    </row>
    <row r="124" spans="1:12">
      <c r="A124" s="8">
        <v>63</v>
      </c>
      <c r="B124" s="8" t="s">
        <v>42</v>
      </c>
      <c r="C124" s="8" t="s">
        <v>11</v>
      </c>
      <c r="D124" s="9" t="s">
        <v>29</v>
      </c>
      <c r="E124" s="9">
        <v>276</v>
      </c>
      <c r="F124" s="9">
        <v>6.4260000000000002</v>
      </c>
      <c r="G124" s="9">
        <v>0.45</v>
      </c>
      <c r="H124" s="10">
        <v>45351</v>
      </c>
      <c r="I124" s="9">
        <v>1</v>
      </c>
      <c r="J124" s="9" t="str">
        <f t="shared" si="7"/>
        <v>LEGUME</v>
      </c>
      <c r="K124" s="9">
        <f t="shared" si="5"/>
        <v>0</v>
      </c>
      <c r="L124" s="9">
        <f t="shared" si="6"/>
        <v>124.2</v>
      </c>
    </row>
    <row r="125" spans="1:12">
      <c r="A125" s="8">
        <v>64</v>
      </c>
      <c r="B125" s="8" t="s">
        <v>44</v>
      </c>
      <c r="C125" s="8" t="s">
        <v>10</v>
      </c>
      <c r="D125" s="9" t="s">
        <v>28</v>
      </c>
      <c r="E125" s="9">
        <v>851</v>
      </c>
      <c r="F125" s="9">
        <v>7.5179999999999998</v>
      </c>
      <c r="G125" s="9">
        <v>0.45</v>
      </c>
      <c r="H125" s="10">
        <v>45351</v>
      </c>
      <c r="I125" s="9">
        <v>1</v>
      </c>
      <c r="J125" s="9" t="str">
        <f t="shared" si="7"/>
        <v>LEGUME</v>
      </c>
      <c r="K125" s="9">
        <f t="shared" si="5"/>
        <v>0</v>
      </c>
      <c r="L125" s="9">
        <f t="shared" si="6"/>
        <v>382.95</v>
      </c>
    </row>
    <row r="126" spans="1:12">
      <c r="A126" s="8">
        <v>65</v>
      </c>
      <c r="B126" s="8" t="s">
        <v>45</v>
      </c>
      <c r="C126" s="8" t="s">
        <v>15</v>
      </c>
      <c r="D126" s="9" t="s">
        <v>33</v>
      </c>
      <c r="E126" s="9">
        <v>815</v>
      </c>
      <c r="F126" s="9">
        <v>15.057</v>
      </c>
      <c r="G126" s="9">
        <v>1</v>
      </c>
      <c r="H126" s="10">
        <v>45351</v>
      </c>
      <c r="I126" s="9">
        <v>1</v>
      </c>
      <c r="J126" s="9" t="str">
        <f t="shared" si="7"/>
        <v>LEGUME</v>
      </c>
      <c r="K126" s="9">
        <f t="shared" si="5"/>
        <v>368.14364999999998</v>
      </c>
      <c r="L126" s="9">
        <f t="shared" si="6"/>
        <v>815</v>
      </c>
    </row>
  </sheetData>
  <autoFilter ref="A1:L126">
    <filterColumn colId="9">
      <filters>
        <filter val="LEGUME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I11" sqref="I11"/>
    </sheetView>
  </sheetViews>
  <sheetFormatPr defaultRowHeight="14.25"/>
  <cols>
    <col min="2" max="2" width="18.625" bestFit="1" customWidth="1"/>
    <col min="3" max="3" width="22.5" customWidth="1"/>
  </cols>
  <sheetData>
    <row r="1" spans="1:3">
      <c r="A1" s="12" t="s">
        <v>6</v>
      </c>
      <c r="B1" s="12" t="s">
        <v>47</v>
      </c>
      <c r="C1" s="12" t="s">
        <v>57</v>
      </c>
    </row>
    <row r="2" spans="1:3">
      <c r="A2" s="13">
        <v>1</v>
      </c>
      <c r="B2" s="13" t="s">
        <v>48</v>
      </c>
      <c r="C2" s="13">
        <f>COUNTIF(VANZARI!I$2:I$126,A2)</f>
        <v>66</v>
      </c>
    </row>
    <row r="3" spans="1:3">
      <c r="A3" s="13">
        <v>2</v>
      </c>
      <c r="B3" s="13" t="s">
        <v>49</v>
      </c>
      <c r="C3" s="13">
        <f>COUNTIF(VANZARI!I$2:I$126,A3)</f>
        <v>36</v>
      </c>
    </row>
    <row r="4" spans="1:3">
      <c r="A4" s="13">
        <v>3</v>
      </c>
      <c r="B4" s="13" t="s">
        <v>50</v>
      </c>
      <c r="C4" s="13">
        <f>COUNTIF(VANZARI!I$2:I$126,A4)</f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1"/>
  <sheetViews>
    <sheetView zoomScale="101" workbookViewId="0">
      <selection activeCell="F20" sqref="F20"/>
    </sheetView>
  </sheetViews>
  <sheetFormatPr defaultRowHeight="14.25"/>
  <cols>
    <col min="1" max="1" width="18.5" bestFit="1" customWidth="1"/>
    <col min="2" max="2" width="16.875" bestFit="1" customWidth="1"/>
    <col min="3" max="3" width="9" bestFit="1" customWidth="1"/>
    <col min="4" max="4" width="11.375" bestFit="1" customWidth="1"/>
    <col min="5" max="5" width="19.5" bestFit="1" customWidth="1"/>
    <col min="6" max="6" width="23.5" bestFit="1" customWidth="1"/>
    <col min="7" max="7" width="24.5" bestFit="1" customWidth="1"/>
    <col min="8" max="8" width="23.5" bestFit="1" customWidth="1"/>
    <col min="9" max="9" width="24.5" bestFit="1" customWidth="1"/>
    <col min="10" max="40" width="10.125" bestFit="1" customWidth="1"/>
    <col min="41" max="42" width="11.375" bestFit="1" customWidth="1"/>
  </cols>
  <sheetData>
    <row r="3" spans="1:4">
      <c r="A3" s="16" t="s">
        <v>23</v>
      </c>
      <c r="B3" s="16" t="s">
        <v>55</v>
      </c>
    </row>
    <row r="4" spans="1:4">
      <c r="A4" s="14" t="s">
        <v>49</v>
      </c>
      <c r="B4" s="15">
        <v>0.26741105522986358</v>
      </c>
    </row>
    <row r="5" spans="1:4">
      <c r="A5" s="14" t="s">
        <v>48</v>
      </c>
      <c r="B5" s="15">
        <v>0.4661182211167777</v>
      </c>
    </row>
    <row r="6" spans="1:4">
      <c r="A6" s="14" t="s">
        <v>50</v>
      </c>
      <c r="B6" s="15">
        <v>0.26647072365335867</v>
      </c>
    </row>
    <row r="7" spans="1:4">
      <c r="A7" s="17" t="s">
        <v>24</v>
      </c>
      <c r="B7" s="18">
        <v>1</v>
      </c>
    </row>
    <row r="16" spans="1:4">
      <c r="A16" s="16" t="s">
        <v>55</v>
      </c>
      <c r="B16" s="16" t="s">
        <v>51</v>
      </c>
      <c r="C16" s="16"/>
      <c r="D16" s="16"/>
    </row>
    <row r="17" spans="1:4">
      <c r="A17" s="16" t="s">
        <v>23</v>
      </c>
      <c r="B17" s="16" t="s">
        <v>52</v>
      </c>
      <c r="C17" s="16" t="s">
        <v>53</v>
      </c>
      <c r="D17" s="16" t="s">
        <v>24</v>
      </c>
    </row>
    <row r="18" spans="1:4">
      <c r="A18" s="14" t="s">
        <v>49</v>
      </c>
      <c r="B18" s="19">
        <v>3421.35</v>
      </c>
      <c r="C18" s="19">
        <v>7555.7000000000007</v>
      </c>
      <c r="D18" s="19">
        <v>10977.050000000001</v>
      </c>
    </row>
    <row r="19" spans="1:4">
      <c r="A19" s="14" t="s">
        <v>48</v>
      </c>
      <c r="B19" s="19">
        <v>9074.5</v>
      </c>
      <c r="C19" s="19">
        <v>10059.35</v>
      </c>
      <c r="D19" s="19">
        <v>19133.849999999999</v>
      </c>
    </row>
    <row r="20" spans="1:4">
      <c r="A20" s="14" t="s">
        <v>50</v>
      </c>
      <c r="B20" s="19">
        <v>9104.2000000000007</v>
      </c>
      <c r="C20" s="19">
        <v>1834.25</v>
      </c>
      <c r="D20" s="19">
        <v>10938.45</v>
      </c>
    </row>
    <row r="21" spans="1:4">
      <c r="A21" s="17" t="s">
        <v>24</v>
      </c>
      <c r="B21" s="16">
        <v>21600.050000000003</v>
      </c>
      <c r="C21" s="16">
        <v>19449.300000000003</v>
      </c>
      <c r="D21" s="16">
        <v>41049.350000000006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workbookViewId="0">
      <selection activeCell="H19" sqref="H19"/>
    </sheetView>
  </sheetViews>
  <sheetFormatPr defaultRowHeight="14.25"/>
  <cols>
    <col min="1" max="1" width="13.125" bestFit="1" customWidth="1"/>
    <col min="2" max="2" width="13.125" customWidth="1"/>
    <col min="3" max="3" width="17.375" customWidth="1"/>
    <col min="4" max="4" width="12.5" customWidth="1"/>
  </cols>
  <sheetData>
    <row r="2" spans="1:7">
      <c r="D2" t="s">
        <v>26</v>
      </c>
      <c r="E2" t="s">
        <v>25</v>
      </c>
    </row>
    <row r="3" spans="1:7">
      <c r="A3" s="1" t="s">
        <v>23</v>
      </c>
      <c r="B3" s="5" t="s">
        <v>9</v>
      </c>
      <c r="C3" t="s">
        <v>27</v>
      </c>
      <c r="D3">
        <v>1</v>
      </c>
      <c r="E3">
        <v>1</v>
      </c>
      <c r="F3">
        <v>19.649999999999999</v>
      </c>
      <c r="G3">
        <f>IF(E3=1,F3+(F3*0.05),IF(E3=2,F3+(F3*0.03),F3+(F3*0.04)))</f>
        <v>20.6325</v>
      </c>
    </row>
    <row r="4" spans="1:7">
      <c r="A4" s="2" t="s">
        <v>10</v>
      </c>
      <c r="B4" s="2" t="s">
        <v>10</v>
      </c>
      <c r="C4" t="s">
        <v>28</v>
      </c>
      <c r="D4">
        <v>0.45</v>
      </c>
      <c r="E4">
        <v>1</v>
      </c>
      <c r="F4">
        <v>7.16</v>
      </c>
      <c r="G4">
        <f t="shared" ref="G4:G17" si="0">IF(E4=1,F4+(F4*0.05),IF(E4=2,F4+(F4*0.03),F4+(F4*0.04)))</f>
        <v>7.5179999999999998</v>
      </c>
    </row>
    <row r="5" spans="1:7">
      <c r="A5" s="3" t="s">
        <v>11</v>
      </c>
      <c r="B5" s="3" t="s">
        <v>11</v>
      </c>
      <c r="C5" t="s">
        <v>29</v>
      </c>
      <c r="D5">
        <v>0.45</v>
      </c>
      <c r="E5">
        <v>1</v>
      </c>
      <c r="F5">
        <v>6.12</v>
      </c>
      <c r="G5">
        <f t="shared" si="0"/>
        <v>6.4260000000000002</v>
      </c>
    </row>
    <row r="6" spans="1:7">
      <c r="A6" s="3" t="s">
        <v>12</v>
      </c>
      <c r="B6" s="3" t="s">
        <v>12</v>
      </c>
      <c r="C6" t="s">
        <v>30</v>
      </c>
      <c r="D6">
        <v>0.45</v>
      </c>
      <c r="E6">
        <v>1</v>
      </c>
      <c r="F6">
        <v>10.56</v>
      </c>
      <c r="G6">
        <f t="shared" si="0"/>
        <v>11.088000000000001</v>
      </c>
    </row>
    <row r="7" spans="1:7">
      <c r="A7" s="3" t="s">
        <v>13</v>
      </c>
      <c r="B7" s="3" t="s">
        <v>13</v>
      </c>
      <c r="C7" t="s">
        <v>31</v>
      </c>
      <c r="D7">
        <v>0.45</v>
      </c>
      <c r="E7">
        <v>1</v>
      </c>
      <c r="F7">
        <v>8.4499999999999993</v>
      </c>
      <c r="G7">
        <f t="shared" si="0"/>
        <v>8.8724999999999987</v>
      </c>
    </row>
    <row r="8" spans="1:7">
      <c r="A8" s="3" t="s">
        <v>14</v>
      </c>
      <c r="B8" s="3" t="s">
        <v>14</v>
      </c>
      <c r="C8" t="s">
        <v>32</v>
      </c>
      <c r="D8">
        <v>1</v>
      </c>
      <c r="E8">
        <v>1</v>
      </c>
      <c r="F8">
        <v>16.3</v>
      </c>
      <c r="G8">
        <f t="shared" si="0"/>
        <v>17.115000000000002</v>
      </c>
    </row>
    <row r="9" spans="1:7">
      <c r="A9" s="3" t="s">
        <v>15</v>
      </c>
      <c r="B9" s="3" t="s">
        <v>15</v>
      </c>
      <c r="C9" t="s">
        <v>33</v>
      </c>
      <c r="D9">
        <v>1</v>
      </c>
      <c r="E9">
        <v>1</v>
      </c>
      <c r="F9">
        <v>14.34</v>
      </c>
      <c r="G9">
        <f t="shared" si="0"/>
        <v>15.057</v>
      </c>
    </row>
    <row r="10" spans="1:7">
      <c r="A10" s="3" t="s">
        <v>17</v>
      </c>
      <c r="B10" s="3" t="s">
        <v>17</v>
      </c>
      <c r="C10" t="s">
        <v>34</v>
      </c>
      <c r="D10">
        <v>0.45</v>
      </c>
      <c r="E10">
        <v>2</v>
      </c>
      <c r="F10">
        <v>12.6</v>
      </c>
      <c r="G10">
        <f t="shared" si="0"/>
        <v>12.978</v>
      </c>
    </row>
    <row r="11" spans="1:7">
      <c r="A11" s="3" t="s">
        <v>18</v>
      </c>
      <c r="B11" s="3" t="s">
        <v>18</v>
      </c>
      <c r="C11" t="s">
        <v>35</v>
      </c>
      <c r="D11">
        <v>0.45</v>
      </c>
      <c r="E11">
        <v>2</v>
      </c>
      <c r="F11">
        <v>14.7</v>
      </c>
      <c r="G11">
        <f t="shared" si="0"/>
        <v>15.141</v>
      </c>
    </row>
    <row r="12" spans="1:7">
      <c r="A12" s="3" t="s">
        <v>19</v>
      </c>
      <c r="B12" s="3" t="s">
        <v>19</v>
      </c>
      <c r="C12" t="s">
        <v>36</v>
      </c>
      <c r="D12">
        <v>0.45</v>
      </c>
      <c r="E12">
        <v>2</v>
      </c>
      <c r="F12">
        <v>12.5</v>
      </c>
      <c r="G12">
        <f t="shared" si="0"/>
        <v>12.875</v>
      </c>
    </row>
    <row r="13" spans="1:7">
      <c r="A13" s="3" t="s">
        <v>20</v>
      </c>
      <c r="B13" s="3" t="s">
        <v>20</v>
      </c>
      <c r="C13" t="s">
        <v>37</v>
      </c>
      <c r="D13">
        <v>1</v>
      </c>
      <c r="E13">
        <v>2</v>
      </c>
      <c r="F13">
        <v>22.12</v>
      </c>
      <c r="G13">
        <f t="shared" si="0"/>
        <v>22.7836</v>
      </c>
    </row>
    <row r="14" spans="1:7">
      <c r="A14" s="3" t="s">
        <v>21</v>
      </c>
      <c r="B14" s="3" t="s">
        <v>21</v>
      </c>
      <c r="C14" t="s">
        <v>38</v>
      </c>
      <c r="D14">
        <v>1</v>
      </c>
      <c r="E14">
        <v>3</v>
      </c>
      <c r="F14">
        <v>16.2</v>
      </c>
      <c r="G14">
        <f t="shared" si="0"/>
        <v>16.847999999999999</v>
      </c>
    </row>
    <row r="15" spans="1:7">
      <c r="A15" s="3" t="s">
        <v>22</v>
      </c>
      <c r="B15" s="3" t="s">
        <v>22</v>
      </c>
      <c r="C15" t="s">
        <v>39</v>
      </c>
      <c r="D15">
        <v>0.45</v>
      </c>
      <c r="E15">
        <v>3</v>
      </c>
      <c r="F15">
        <v>8.1999999999999993</v>
      </c>
      <c r="G15">
        <f t="shared" si="0"/>
        <v>8.5279999999999987</v>
      </c>
    </row>
    <row r="16" spans="1:7">
      <c r="A16" s="3" t="s">
        <v>16</v>
      </c>
      <c r="B16" s="3" t="s">
        <v>16</v>
      </c>
      <c r="C16" t="s">
        <v>40</v>
      </c>
      <c r="D16">
        <v>1</v>
      </c>
      <c r="E16">
        <v>3</v>
      </c>
      <c r="F16">
        <v>14.1</v>
      </c>
      <c r="G16">
        <f t="shared" si="0"/>
        <v>14.664</v>
      </c>
    </row>
    <row r="17" spans="1:7">
      <c r="A17" s="4" t="s">
        <v>24</v>
      </c>
      <c r="B17" s="6"/>
      <c r="G17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opLeftCell="A58" workbookViewId="0">
      <selection activeCell="H19" sqref="H19"/>
    </sheetView>
  </sheetViews>
  <sheetFormatPr defaultRowHeight="14.25"/>
  <cols>
    <col min="5" max="5" width="10.125" bestFit="1" customWidth="1"/>
  </cols>
  <sheetData>
    <row r="1" spans="1:6">
      <c r="A1" t="s">
        <v>9</v>
      </c>
    </row>
    <row r="2" spans="1:6">
      <c r="A2" t="s">
        <v>10</v>
      </c>
      <c r="D2">
        <v>1</v>
      </c>
      <c r="E2" s="7">
        <v>45295</v>
      </c>
      <c r="F2" t="s">
        <v>41</v>
      </c>
    </row>
    <row r="3" spans="1:6">
      <c r="A3" t="s">
        <v>12</v>
      </c>
      <c r="D3">
        <v>2</v>
      </c>
      <c r="E3" s="7">
        <v>45295</v>
      </c>
      <c r="F3" t="s">
        <v>42</v>
      </c>
    </row>
    <row r="4" spans="1:6">
      <c r="A4" t="s">
        <v>12</v>
      </c>
      <c r="D4">
        <v>3</v>
      </c>
      <c r="E4" s="7">
        <v>45295</v>
      </c>
      <c r="F4" t="s">
        <v>46</v>
      </c>
    </row>
    <row r="5" spans="1:6">
      <c r="A5" t="s">
        <v>11</v>
      </c>
      <c r="D5">
        <v>4</v>
      </c>
      <c r="E5" s="7">
        <v>45299</v>
      </c>
      <c r="F5" t="s">
        <v>42</v>
      </c>
    </row>
    <row r="6" spans="1:6">
      <c r="A6" t="s">
        <v>16</v>
      </c>
      <c r="D6">
        <v>5</v>
      </c>
      <c r="E6" s="7">
        <v>45299</v>
      </c>
      <c r="F6" t="s">
        <v>43</v>
      </c>
    </row>
    <row r="7" spans="1:6">
      <c r="A7" t="s">
        <v>12</v>
      </c>
      <c r="D7">
        <v>6</v>
      </c>
      <c r="E7" s="7">
        <v>45300</v>
      </c>
      <c r="F7" t="s">
        <v>44</v>
      </c>
    </row>
    <row r="8" spans="1:6">
      <c r="A8" t="s">
        <v>13</v>
      </c>
      <c r="D8">
        <v>7</v>
      </c>
      <c r="E8" s="7">
        <v>45301</v>
      </c>
      <c r="F8" t="s">
        <v>41</v>
      </c>
    </row>
    <row r="9" spans="1:6">
      <c r="A9" t="s">
        <v>14</v>
      </c>
      <c r="D9">
        <v>8</v>
      </c>
      <c r="E9" s="7">
        <v>45302</v>
      </c>
      <c r="F9" t="s">
        <v>46</v>
      </c>
    </row>
    <row r="10" spans="1:6">
      <c r="A10" t="s">
        <v>15</v>
      </c>
      <c r="D10">
        <v>9</v>
      </c>
      <c r="E10" s="7">
        <v>45302</v>
      </c>
      <c r="F10" t="s">
        <v>42</v>
      </c>
    </row>
    <row r="11" spans="1:6">
      <c r="A11" t="s">
        <v>17</v>
      </c>
      <c r="D11">
        <v>10</v>
      </c>
      <c r="E11" s="7">
        <v>45303</v>
      </c>
      <c r="F11" t="s">
        <v>45</v>
      </c>
    </row>
    <row r="12" spans="1:6">
      <c r="A12" t="s">
        <v>18</v>
      </c>
      <c r="D12">
        <v>11</v>
      </c>
      <c r="E12" s="7">
        <v>45306</v>
      </c>
      <c r="F12" t="s">
        <v>43</v>
      </c>
    </row>
    <row r="13" spans="1:6">
      <c r="A13" t="s">
        <v>19</v>
      </c>
      <c r="D13">
        <v>12</v>
      </c>
      <c r="E13" s="7">
        <v>45307</v>
      </c>
      <c r="F13" t="s">
        <v>42</v>
      </c>
    </row>
    <row r="14" spans="1:6">
      <c r="A14" t="s">
        <v>20</v>
      </c>
      <c r="D14">
        <v>13</v>
      </c>
      <c r="E14" s="7">
        <v>45307</v>
      </c>
      <c r="F14" t="s">
        <v>46</v>
      </c>
    </row>
    <row r="15" spans="1:6">
      <c r="A15" t="s">
        <v>21</v>
      </c>
      <c r="D15">
        <v>14</v>
      </c>
      <c r="E15" s="7">
        <v>45308</v>
      </c>
      <c r="F15" t="s">
        <v>43</v>
      </c>
    </row>
    <row r="16" spans="1:6">
      <c r="A16" t="s">
        <v>22</v>
      </c>
      <c r="D16">
        <v>15</v>
      </c>
      <c r="E16" s="7">
        <v>45309</v>
      </c>
      <c r="F16" t="s">
        <v>41</v>
      </c>
    </row>
    <row r="17" spans="1:6">
      <c r="A17" t="s">
        <v>10</v>
      </c>
      <c r="D17">
        <v>16</v>
      </c>
      <c r="E17" s="7">
        <v>45310</v>
      </c>
      <c r="F17" t="s">
        <v>42</v>
      </c>
    </row>
    <row r="18" spans="1:6">
      <c r="A18" t="s">
        <v>12</v>
      </c>
      <c r="D18">
        <v>17</v>
      </c>
      <c r="E18" s="7">
        <v>45313</v>
      </c>
      <c r="F18" t="s">
        <v>43</v>
      </c>
    </row>
    <row r="19" spans="1:6">
      <c r="A19" t="s">
        <v>11</v>
      </c>
      <c r="D19">
        <v>18</v>
      </c>
      <c r="E19" s="7">
        <v>45313</v>
      </c>
      <c r="F19" t="s">
        <v>45</v>
      </c>
    </row>
    <row r="20" spans="1:6">
      <c r="A20" t="s">
        <v>16</v>
      </c>
      <c r="D20">
        <v>19</v>
      </c>
      <c r="E20" s="7">
        <v>45314</v>
      </c>
      <c r="F20" t="s">
        <v>46</v>
      </c>
    </row>
    <row r="21" spans="1:6">
      <c r="A21" t="s">
        <v>12</v>
      </c>
      <c r="D21">
        <v>20</v>
      </c>
      <c r="E21" s="7">
        <v>45316</v>
      </c>
      <c r="F21" t="s">
        <v>41</v>
      </c>
    </row>
    <row r="22" spans="1:6">
      <c r="A22" t="s">
        <v>17</v>
      </c>
      <c r="D22">
        <v>21</v>
      </c>
      <c r="E22" s="7">
        <v>45316</v>
      </c>
      <c r="F22" t="s">
        <v>43</v>
      </c>
    </row>
    <row r="23" spans="1:6">
      <c r="A23" t="s">
        <v>19</v>
      </c>
      <c r="D23">
        <v>22</v>
      </c>
      <c r="E23" s="7">
        <v>45317</v>
      </c>
      <c r="F23" t="s">
        <v>42</v>
      </c>
    </row>
    <row r="24" spans="1:6">
      <c r="A24" t="s">
        <v>10</v>
      </c>
      <c r="D24">
        <v>23</v>
      </c>
      <c r="E24" s="7">
        <v>45317</v>
      </c>
      <c r="F24" t="s">
        <v>44</v>
      </c>
    </row>
    <row r="25" spans="1:6">
      <c r="A25" t="s">
        <v>10</v>
      </c>
      <c r="D25">
        <v>24</v>
      </c>
      <c r="E25" s="7">
        <v>45320</v>
      </c>
      <c r="F25" t="s">
        <v>45</v>
      </c>
    </row>
    <row r="26" spans="1:6">
      <c r="A26" t="s">
        <v>21</v>
      </c>
      <c r="D26">
        <v>25</v>
      </c>
      <c r="E26" s="7">
        <v>45320</v>
      </c>
      <c r="F26" t="s">
        <v>43</v>
      </c>
    </row>
    <row r="27" spans="1:6">
      <c r="A27" t="s">
        <v>21</v>
      </c>
      <c r="D27">
        <v>26</v>
      </c>
      <c r="E27" s="7">
        <v>45321</v>
      </c>
      <c r="F27" t="s">
        <v>42</v>
      </c>
    </row>
    <row r="28" spans="1:6">
      <c r="A28" t="s">
        <v>17</v>
      </c>
      <c r="D28">
        <v>27</v>
      </c>
      <c r="E28" s="7">
        <v>45321</v>
      </c>
      <c r="F28" t="s">
        <v>44</v>
      </c>
    </row>
    <row r="29" spans="1:6">
      <c r="A29" t="s">
        <v>21</v>
      </c>
      <c r="D29">
        <v>28</v>
      </c>
      <c r="E29" s="7">
        <v>45321</v>
      </c>
      <c r="F29" t="s">
        <v>45</v>
      </c>
    </row>
    <row r="30" spans="1:6">
      <c r="A30" t="s">
        <v>13</v>
      </c>
      <c r="D30">
        <v>29</v>
      </c>
      <c r="E30" s="7">
        <v>45322</v>
      </c>
      <c r="F30" t="s">
        <v>43</v>
      </c>
    </row>
    <row r="31" spans="1:6">
      <c r="D31">
        <v>30</v>
      </c>
      <c r="E31" s="7">
        <v>45322</v>
      </c>
      <c r="F31" t="s">
        <v>42</v>
      </c>
    </row>
    <row r="32" spans="1:6">
      <c r="D32">
        <v>31</v>
      </c>
      <c r="E32" s="7">
        <v>45323</v>
      </c>
      <c r="F32" t="s">
        <v>44</v>
      </c>
    </row>
    <row r="33" spans="4:6">
      <c r="D33">
        <v>32</v>
      </c>
      <c r="E33" s="7">
        <v>45323</v>
      </c>
      <c r="F33" t="s">
        <v>45</v>
      </c>
    </row>
    <row r="34" spans="4:6">
      <c r="D34">
        <v>33</v>
      </c>
      <c r="E34" s="7">
        <v>45323</v>
      </c>
      <c r="F34" t="s">
        <v>43</v>
      </c>
    </row>
    <row r="35" spans="4:6">
      <c r="D35">
        <v>34</v>
      </c>
      <c r="E35" s="7">
        <v>45324</v>
      </c>
      <c r="F35" t="s">
        <v>42</v>
      </c>
    </row>
    <row r="36" spans="4:6">
      <c r="D36">
        <v>35</v>
      </c>
      <c r="E36" s="7">
        <v>45327</v>
      </c>
      <c r="F36" t="s">
        <v>44</v>
      </c>
    </row>
    <row r="37" spans="4:6">
      <c r="D37">
        <v>36</v>
      </c>
      <c r="E37" s="7">
        <v>45327</v>
      </c>
      <c r="F37" t="s">
        <v>45</v>
      </c>
    </row>
    <row r="38" spans="4:6">
      <c r="D38">
        <v>37</v>
      </c>
      <c r="E38" s="7">
        <v>45327</v>
      </c>
      <c r="F38" t="s">
        <v>43</v>
      </c>
    </row>
    <row r="39" spans="4:6">
      <c r="D39">
        <v>38</v>
      </c>
      <c r="E39" s="7">
        <v>45327</v>
      </c>
      <c r="F39" t="s">
        <v>42</v>
      </c>
    </row>
    <row r="40" spans="4:6">
      <c r="D40">
        <v>39</v>
      </c>
      <c r="E40" s="7">
        <v>45328</v>
      </c>
      <c r="F40" t="s">
        <v>43</v>
      </c>
    </row>
    <row r="41" spans="4:6">
      <c r="D41">
        <v>40</v>
      </c>
      <c r="E41" s="7">
        <v>45329</v>
      </c>
      <c r="F41" t="s">
        <v>42</v>
      </c>
    </row>
    <row r="42" spans="4:6">
      <c r="D42">
        <v>41</v>
      </c>
      <c r="E42" s="7">
        <v>45329</v>
      </c>
      <c r="F42" t="s">
        <v>44</v>
      </c>
    </row>
    <row r="43" spans="4:6">
      <c r="D43">
        <v>42</v>
      </c>
      <c r="E43" s="7">
        <v>45329</v>
      </c>
      <c r="F43" t="s">
        <v>45</v>
      </c>
    </row>
    <row r="44" spans="4:6">
      <c r="D44">
        <v>43</v>
      </c>
      <c r="E44" s="7">
        <v>45330</v>
      </c>
      <c r="F44" t="s">
        <v>43</v>
      </c>
    </row>
    <row r="45" spans="4:6">
      <c r="D45">
        <v>44</v>
      </c>
      <c r="E45" s="7">
        <v>45330</v>
      </c>
      <c r="F45" t="s">
        <v>44</v>
      </c>
    </row>
    <row r="46" spans="4:6">
      <c r="D46">
        <v>45</v>
      </c>
      <c r="E46" s="7">
        <v>45331</v>
      </c>
      <c r="F46" t="s">
        <v>41</v>
      </c>
    </row>
    <row r="47" spans="4:6">
      <c r="D47">
        <v>46</v>
      </c>
      <c r="E47" s="7">
        <v>45334</v>
      </c>
      <c r="F47" t="s">
        <v>46</v>
      </c>
    </row>
    <row r="48" spans="4:6">
      <c r="D48">
        <v>47</v>
      </c>
      <c r="E48" s="7">
        <v>45335</v>
      </c>
      <c r="F48" t="s">
        <v>45</v>
      </c>
    </row>
    <row r="49" spans="4:6">
      <c r="D49">
        <v>48</v>
      </c>
      <c r="E49" s="7">
        <v>45336</v>
      </c>
      <c r="F49" t="s">
        <v>41</v>
      </c>
    </row>
    <row r="50" spans="4:6">
      <c r="D50">
        <v>49</v>
      </c>
      <c r="E50" s="7">
        <v>45337</v>
      </c>
      <c r="F50" t="s">
        <v>43</v>
      </c>
    </row>
    <row r="51" spans="4:6">
      <c r="D51">
        <v>50</v>
      </c>
      <c r="E51" s="7">
        <v>45338</v>
      </c>
      <c r="F51" t="s">
        <v>42</v>
      </c>
    </row>
    <row r="52" spans="4:6">
      <c r="D52">
        <v>51</v>
      </c>
      <c r="E52" s="7">
        <v>45341</v>
      </c>
      <c r="F52" t="s">
        <v>44</v>
      </c>
    </row>
    <row r="53" spans="4:6">
      <c r="D53">
        <v>52</v>
      </c>
      <c r="E53" s="7">
        <v>45342</v>
      </c>
      <c r="F53" t="s">
        <v>45</v>
      </c>
    </row>
    <row r="54" spans="4:6">
      <c r="D54">
        <v>53</v>
      </c>
      <c r="E54" s="7">
        <v>45342</v>
      </c>
      <c r="F54" t="s">
        <v>43</v>
      </c>
    </row>
    <row r="55" spans="4:6">
      <c r="D55">
        <v>54</v>
      </c>
      <c r="E55" s="7">
        <v>45343</v>
      </c>
      <c r="F55" t="s">
        <v>42</v>
      </c>
    </row>
    <row r="56" spans="4:6">
      <c r="D56">
        <v>55</v>
      </c>
      <c r="E56" s="7">
        <v>45344</v>
      </c>
      <c r="F56" t="s">
        <v>45</v>
      </c>
    </row>
    <row r="57" spans="4:6">
      <c r="D57">
        <v>56</v>
      </c>
      <c r="E57" s="7">
        <v>45344</v>
      </c>
      <c r="F57" t="s">
        <v>43</v>
      </c>
    </row>
    <row r="58" spans="4:6">
      <c r="D58">
        <v>57</v>
      </c>
      <c r="E58" s="7">
        <v>45345</v>
      </c>
      <c r="F58" t="s">
        <v>44</v>
      </c>
    </row>
    <row r="59" spans="4:6">
      <c r="D59">
        <v>58</v>
      </c>
      <c r="E59" s="7">
        <v>45348</v>
      </c>
      <c r="F59" t="s">
        <v>41</v>
      </c>
    </row>
    <row r="60" spans="4:6">
      <c r="D60">
        <v>59</v>
      </c>
      <c r="E60" s="7">
        <v>45349</v>
      </c>
      <c r="F60" t="s">
        <v>46</v>
      </c>
    </row>
    <row r="61" spans="4:6">
      <c r="D61">
        <v>60</v>
      </c>
      <c r="E61" s="7">
        <v>45349</v>
      </c>
      <c r="F61" t="s">
        <v>45</v>
      </c>
    </row>
    <row r="62" spans="4:6">
      <c r="D62">
        <v>61</v>
      </c>
      <c r="E62" s="7">
        <v>45350</v>
      </c>
      <c r="F62" t="s">
        <v>41</v>
      </c>
    </row>
    <row r="63" spans="4:6">
      <c r="D63">
        <v>62</v>
      </c>
      <c r="E63" s="7">
        <v>45350</v>
      </c>
      <c r="F63" t="s">
        <v>43</v>
      </c>
    </row>
    <row r="64" spans="4:6">
      <c r="D64">
        <v>63</v>
      </c>
      <c r="E64" s="7">
        <v>45351</v>
      </c>
      <c r="F64" t="s">
        <v>42</v>
      </c>
    </row>
    <row r="65" spans="4:6">
      <c r="D65">
        <v>64</v>
      </c>
      <c r="E65" s="7">
        <v>45351</v>
      </c>
      <c r="F65" t="s">
        <v>44</v>
      </c>
    </row>
    <row r="66" spans="4:6">
      <c r="D66">
        <v>65</v>
      </c>
      <c r="E66" s="7">
        <v>45351</v>
      </c>
      <c r="F66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VANZARI</vt:lpstr>
      <vt:lpstr>CATEGORII</vt:lpstr>
      <vt:lpstr>VANZARI CATEGORII</vt:lpstr>
      <vt:lpstr>Sheet3</vt:lpstr>
      <vt:lpstr>Sheet2</vt:lpstr>
      <vt:lpstr>categorii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Constantin</dc:creator>
  <cp:lastModifiedBy>DELL</cp:lastModifiedBy>
  <dcterms:created xsi:type="dcterms:W3CDTF">2024-04-21T09:20:40Z</dcterms:created>
  <dcterms:modified xsi:type="dcterms:W3CDTF">2025-03-09T17:18:14Z</dcterms:modified>
</cp:coreProperties>
</file>